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_me" sheetId="1" state="visible" r:id="rId3"/>
    <sheet name="Parametros" sheetId="2" state="visible" r:id="rId4"/>
    <sheet name="AHP_Dimensoes" sheetId="3" state="visible" r:id="rId5"/>
    <sheet name="Pesos_Indicadores" sheetId="4" state="visible" r:id="rId6"/>
    <sheet name="Normalizacao" sheetId="5" state="visible" r:id="rId7"/>
    <sheet name="Pesos_Efetivos" sheetId="6" state="visible" r:id="rId8"/>
    <sheet name="Pontuacao" sheetId="7" state="visible" r:id="rId9"/>
    <sheet name="Sensibilidade" sheetId="8" state="visible" r:id="rId10"/>
    <sheet name="Conferenci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<sst xmlns="http://schemas.openxmlformats.org/spreadsheetml/2006/main" count="585" uniqueCount="334">
  <si>
    <t xml:space="preserve">Validação do cálculo do UFSCar Cloud Selector</t>
  </si>
  <si>
    <t xml:space="preserve">Como usar</t>
  </si>
  <si>
    <t xml:space="preserve">1</t>
  </si>
  <si>
    <t xml:space="preserve">As abas seguem a ordem do cálculo: Parametros → AHP_Dimensoes → Pesos_Indicadores → Normalizacao → Pesos_Efetivos → Pontuacao → Sensibilidade → Conferencia.</t>
  </si>
  <si>
    <t xml:space="preserve">2</t>
  </si>
  <si>
    <t xml:space="preserve">Altere só células amarelas (texto azul). Todo o resto é fórmula.</t>
  </si>
  <si>
    <t xml:space="preserve">3</t>
  </si>
  <si>
    <t xml:space="preserve">Conferencia compara a planilha com o relatório publicado. Ao simular, ela passa a acusar DIVERGE: é o esperado.</t>
  </si>
  <si>
    <t xml:space="preserve">Cores</t>
  </si>
  <si>
    <t xml:space="preserve">Destaques: valores que aparecem no relatório</t>
  </si>
  <si>
    <t xml:space="preserve">Amarelo, texto azul</t>
  </si>
  <si>
    <t xml:space="preserve">Entrada</t>
  </si>
  <si>
    <t xml:space="preserve">Azul</t>
  </si>
  <si>
    <t xml:space="preserve">Peso exibido no relatório: matriz e pesos do AHP ("Autovetor principal → pesos"), peso efetivo por dimensão e por indicador</t>
  </si>
  <si>
    <t xml:space="preserve">Texto preto</t>
  </si>
  <si>
    <t xml:space="preserve">Fórmula da própria aba</t>
  </si>
  <si>
    <t xml:space="preserve">Laranja</t>
  </si>
  <si>
    <t xml:space="preserve">Nota normalizada e parcela (peso × nota): "Peso × nota em cada dimensão" e "O que separou os provedores"</t>
  </si>
  <si>
    <t xml:space="preserve">Texto verde</t>
  </si>
  <si>
    <t xml:space="preserve">Fórmula que puxa de outra aba</t>
  </si>
  <si>
    <t xml:space="preserve">Lilás</t>
  </si>
  <si>
    <t xml:space="preserve">Qualidade do resultado: λmax, IC, RC, conjunto V, taxa de comparabilidade, margem, empate e sensibilidade</t>
  </si>
  <si>
    <t xml:space="preserve">Verde claro</t>
  </si>
  <si>
    <t xml:space="preserve">Verificação (OK / DIVERGE)</t>
  </si>
  <si>
    <t xml:space="preserve">Verde</t>
  </si>
  <si>
    <t xml:space="preserve">Resultado final: pontuação de cada provedor e ranking ("Pontuação final", "Posição e empate")</t>
  </si>
  <si>
    <t xml:space="preserve">Equações</t>
  </si>
  <si>
    <t xml:space="preserve">AHP</t>
  </si>
  <si>
    <t xml:space="preserve">a_ji = 1/a_ij · N_ij = A_ij ÷ Σ_i A_ij · W_d = média da linha · CR = ((λmax − n)/(n − 1)) ÷ RI</t>
  </si>
  <si>
    <t xml:space="preserve">Pesos</t>
  </si>
  <si>
    <t xml:space="preserve">l_j = v_j ÷ Σ v da dimensão · w_j = W_d × l_j</t>
  </si>
  <si>
    <t xml:space="preserve">Safra</t>
  </si>
  <si>
    <t xml:space="preserve">Se os anos das evidências FOUND de um indicador distam mais que a tolerância, o indicador vira INVALID para todos.</t>
  </si>
  <si>
    <t xml:space="preserve">Normalização</t>
  </si>
  <si>
    <t xml:space="preserve">benefício r = x ÷ máx · minimização r = mín ÷ x · qualitativo r = valor da rubrica (sem divisão) · máx e mín só dos valores observados; zero imputado em vermelho na Normalizacao</t>
  </si>
  <si>
    <t xml:space="preserve">Conjunto V</t>
  </si>
  <si>
    <t xml:space="preserve">Entra quem tem valor para ao menos um provedor e fórmula definida entre os observados; o provedor sem valor recebe r = 0 como penalidade (Parametros B50; NÃO volta à regra 'valor para os três'). Sai também o indicador que dá a mesma nota a todos, salvo se nenhum separar.</t>
  </si>
  <si>
    <t xml:space="preserve">Pesos efetivos</t>
  </si>
  <si>
    <t xml:space="preserve">w'_j = w_j ÷ Σ_{k∈V} w_k</t>
  </si>
  <si>
    <t xml:space="preserve">Equação 5</t>
  </si>
  <si>
    <t xml:space="preserve">S_i = Σ_{j∈V} w'_j × r_ij · empate quando a diferença para o líder do grupo ≤ margem</t>
  </si>
  <si>
    <t xml:space="preserve">Sensibilidade</t>
  </si>
  <si>
    <t xml:space="preserve">W_d em [0,1], demais reescaladas na proporção; menor Δ que troca o líder</t>
  </si>
  <si>
    <t xml:space="preserve">Caso carregado</t>
  </si>
  <si>
    <t xml:space="preserve">Submissão</t>
  </si>
  <si>
    <t xml:space="preserve">ce0f9d95e77a4017af6056baa0009556 · simulação com foco em Segurança da Informação · backend/data/audit.db · reenvio de 29/09/2026 (envio original de 23/09: 04ef7f39…, números na coluna G da Conferencia)</t>
  </si>
  <si>
    <t xml:space="preserve">Hashes</t>
  </si>
  <si>
    <t xml:space="preserve">indicadores 84aacdd97b2e… · escalas d99dde2a8459… (zero para evidência parcial; indicador de nota igual mantido na soma)</t>
  </si>
  <si>
    <t xml:space="preserve">Resultado</t>
  </si>
  <si>
    <t xml:space="preserve">Microsoft Azure 0,822668 · Google Cloud 0,769966 · AWS 0,746160</t>
  </si>
  <si>
    <t xml:space="preserve">Parâmetros metodológicos</t>
  </si>
  <si>
    <t xml:space="preserve">Espelha backend/methodology/scales.json. Células amarelas são decisões da dissertação.</t>
  </si>
  <si>
    <t xml:space="preserve">Escala de Saaty</t>
  </si>
  <si>
    <t xml:space="preserve">Intensidade</t>
  </si>
  <si>
    <t xml:space="preserve">Valor</t>
  </si>
  <si>
    <t xml:space="preserve">moderada</t>
  </si>
  <si>
    <t xml:space="preserve">forte</t>
  </si>
  <si>
    <t xml:space="preserve">muito forte</t>
  </si>
  <si>
    <t xml:space="preserve">extrema</t>
  </si>
  <si>
    <t xml:space="preserve">Índice randômico de Saaty (RI)</t>
  </si>
  <si>
    <t xml:space="preserve">n</t>
  </si>
  <si>
    <t xml:space="preserve">RI</t>
  </si>
  <si>
    <t xml:space="preserve">Coeficientes de relevância (blocos A, B e C)</t>
  </si>
  <si>
    <t xml:space="preserve">Resposta</t>
  </si>
  <si>
    <t xml:space="preserve">v</t>
  </si>
  <si>
    <t xml:space="preserve">Decisivo (critério indispensável)</t>
  </si>
  <si>
    <t xml:space="preserve">Muito relevante</t>
  </si>
  <si>
    <t xml:space="preserve">Relevante</t>
  </si>
  <si>
    <t xml:space="preserve">Pouco relevante</t>
  </si>
  <si>
    <t xml:space="preserve">Irrelevante</t>
  </si>
  <si>
    <t xml:space="preserve">Não sei / não tenho informações suficientes</t>
  </si>
  <si>
    <t xml:space="preserve">nulo</t>
  </si>
  <si>
    <t xml:space="preserve">Nulo não é zero: o indicador fica sem peso e sai do cálculo.</t>
  </si>
  <si>
    <t xml:space="preserve">Rubrica qualitativa (Quadro 23)</t>
  </si>
  <si>
    <t xml:space="preserve">Nível</t>
  </si>
  <si>
    <t xml:space="preserve">nao_identificado</t>
  </si>
  <si>
    <t xml:space="preserve">—</t>
  </si>
  <si>
    <t xml:space="preserve">'—' não é zero: se nenhum provedor tiver valor, o indicador sai da comparação. Se só parte tiver, o ausente recebe 0 como penalidade (Parametros B50).</t>
  </si>
  <si>
    <t xml:space="preserve">baixo</t>
  </si>
  <si>
    <t xml:space="preserve">moderado</t>
  </si>
  <si>
    <t xml:space="preserve">alto</t>
  </si>
  <si>
    <t xml:space="preserve">completo</t>
  </si>
  <si>
    <t xml:space="preserve">Regras de decisão</t>
  </si>
  <si>
    <t xml:space="preserve">Parâmetro</t>
  </si>
  <si>
    <t xml:space="preserve">Chave no scales.json / código</t>
  </si>
  <si>
    <t xml:space="preserve">Limite de consistência (CR máximo)</t>
  </si>
  <si>
    <t xml:space="preserve">ahp.consistency_threshold</t>
  </si>
  <si>
    <t xml:space="preserve">Margem de indiferença (empate)</t>
  </si>
  <si>
    <t xml:space="preserve">tie_break.tolerance</t>
  </si>
  <si>
    <t xml:space="preserve">Excluir indicador que dá a mesma nota a todos</t>
  </si>
  <si>
    <t xml:space="preserve">NÃO</t>
  </si>
  <si>
    <t xml:space="preserve">comparability.exclude_non_discriminative</t>
  </si>
  <si>
    <t xml:space="preserve">Tolerância de safra, em anos (vazio desliga)</t>
  </si>
  <si>
    <t xml:space="preserve">evidence.vintage_tolerance_years</t>
  </si>
  <si>
    <t xml:space="preserve">Diferença abaixo da qual duas notas são iguais</t>
  </si>
  <si>
    <t xml:space="preserve">normalization.SAME_VALUE_EPS</t>
  </si>
  <si>
    <t xml:space="preserve">Passo da varredura de sensibilidade</t>
  </si>
  <si>
    <t xml:space="preserve">sensitivity.PASSO</t>
  </si>
  <si>
    <t xml:space="preserve">Tolerância da aba Conferencia</t>
  </si>
  <si>
    <t xml:space="preserve">desta planilha (o relatório publica 4 a 6 casas)</t>
  </si>
  <si>
    <t xml:space="preserve">Zero para quem não tem valor (evidência parcial)</t>
  </si>
  <si>
    <t xml:space="preserve">SIM</t>
  </si>
  <si>
    <t xml:space="preserve">comparability.missing_for_some_scores_zero</t>
  </si>
  <si>
    <t xml:space="preserve">SIM: indicador com valor para parte dos provedores entra em V e o ausente recebe r = 0 (penalidade, não medição). NÃO: sai para todos (§11.1).</t>
  </si>
  <si>
    <t xml:space="preserve">Etapa 1 — Pesos das dimensões (AHP, bloco D) · Simulação: Foco em Segurança da Informação</t>
  </si>
  <si>
    <t xml:space="preserve">backend/app/pairwise.py + ahp.py · a_ij = intensidade se a preferida é i; 1/intensidade se é j; 1 se igual · W_d = média da linha da matriz normalizada.</t>
  </si>
  <si>
    <t xml:space="preserve">1.1 Julgamentos (entrada)</t>
  </si>
  <si>
    <t xml:space="preserve">Dimensão A</t>
  </si>
  <si>
    <t xml:space="preserve">Dimensão B</t>
  </si>
  <si>
    <t xml:space="preserve">Preferência (A, B ou Igual)</t>
  </si>
  <si>
    <t xml:space="preserve">Valor de Saaty</t>
  </si>
  <si>
    <t xml:space="preserve">a_AB</t>
  </si>
  <si>
    <t xml:space="preserve">Sustentabilidade</t>
  </si>
  <si>
    <t xml:space="preserve">Desempenho Operacional</t>
  </si>
  <si>
    <t xml:space="preserve">Igual</t>
  </si>
  <si>
    <t xml:space="preserve">Segurança da Informação</t>
  </si>
  <si>
    <t xml:space="preserve">B</t>
  </si>
  <si>
    <t xml:space="preserve">A = a dimensão da coluna A é a preferida; B = a da coluna B; Igual = indiferença (intensidade vazia).</t>
  </si>
  <si>
    <t xml:space="preserve">1.2 Matriz de comparação A  (a_ji = 1/a_ij)</t>
  </si>
  <si>
    <t xml:space="preserve">Σ da coluna</t>
  </si>
  <si>
    <t xml:space="preserve">1.3 Matriz normalizada  N_ij = A_ij ÷ Σ coluna  e peso W_d</t>
  </si>
  <si>
    <t xml:space="preserve">W_d</t>
  </si>
  <si>
    <t xml:space="preserve">%</t>
  </si>
  <si>
    <t xml:space="preserve">Σ</t>
  </si>
  <si>
    <t xml:space="preserve">1.4 Consistência</t>
  </si>
  <si>
    <t xml:space="preserve">Dimensão</t>
  </si>
  <si>
    <t xml:space="preserve">(A·W)_i</t>
  </si>
  <si>
    <t xml:space="preserve">(A·W)_i ÷ W_i</t>
  </si>
  <si>
    <t xml:space="preserve">λmax = média de (A·W)_i ÷ W_i</t>
  </si>
  <si>
    <t xml:space="preserve">CI = (λmax − n) ÷ (n − 1)</t>
  </si>
  <si>
    <t xml:space="preserve">CR = CI ÷ RI</t>
  </si>
  <si>
    <t xml:space="preserve">Limite</t>
  </si>
  <si>
    <t xml:space="preserve">Julgamento</t>
  </si>
  <si>
    <t xml:space="preserve">Etapa 2 — Pesos local e global dos indicadores (blocos A, B e C)</t>
  </si>
  <si>
    <t xml:space="preserve">backend/app/domain/weights.py · l_j = v_j ÷ Σ v da dimensão · w_j = W_d × l_j · 'Não sei' dá coeficiente nulo: o indicador fica sem peso.</t>
  </si>
  <si>
    <t xml:space="preserve">Indicador</t>
  </si>
  <si>
    <t xml:space="preserve">Relevância (entrada)</t>
  </si>
  <si>
    <t xml:space="preserve">v_j</t>
  </si>
  <si>
    <t xml:space="preserve">Σ v na dimensão</t>
  </si>
  <si>
    <t xml:space="preserve">Peso local l_j</t>
  </si>
  <si>
    <t xml:space="preserve">Peso da dimensão W_d</t>
  </si>
  <si>
    <t xml:space="preserve">Peso global w_j</t>
  </si>
  <si>
    <t xml:space="preserve">l_j (0 se nulo, auxiliar)</t>
  </si>
  <si>
    <t xml:space="preserve">Eficiência energética dos data centers (PUE)</t>
  </si>
  <si>
    <t xml:space="preserve">Utilização de fontes de energia renovável (%)</t>
  </si>
  <si>
    <t xml:space="preserve">Redução de emissões de gases de efeito estufa</t>
  </si>
  <si>
    <t xml:space="preserve">Gestão de resíduos eletrônicos (% de desvio de aterro)</t>
  </si>
  <si>
    <t xml:space="preserve">Circularidade e ciclo de vida dos equipamentos</t>
  </si>
  <si>
    <t xml:space="preserve">Disponibilidade dos serviços (%)</t>
  </si>
  <si>
    <t xml:space="preserve">Suporte técnico e resposta a incidentes</t>
  </si>
  <si>
    <t xml:space="preserve">Latência e tempo de resposta (ms)</t>
  </si>
  <si>
    <t xml:space="preserve">Escalabilidade e elasticidade</t>
  </si>
  <si>
    <t xml:space="preserve">Certificações e conformidade</t>
  </si>
  <si>
    <t xml:space="preserve">Backup, recuperação de desastres e continuidade</t>
  </si>
  <si>
    <t xml:space="preserve">Identidade, autenticação e controle de acesso</t>
  </si>
  <si>
    <t xml:space="preserve">Proteção de dados e criptografia</t>
  </si>
  <si>
    <t xml:space="preserve">Verificações</t>
  </si>
  <si>
    <t xml:space="preserve">Σ l_j (deve ser 1)</t>
  </si>
  <si>
    <t xml:space="preserve">Σ w_j</t>
  </si>
  <si>
    <t xml:space="preserve">Situação</t>
  </si>
  <si>
    <t xml:space="preserve">Σ w_j de todos os indicadores</t>
  </si>
  <si>
    <t xml:space="preserve">Etapa 3 — Da evidência ao valor comparável e ao conjunto V</t>
  </si>
  <si>
    <t xml:space="preserve">backend/app/evidence.py (safra) + domain/normalization.py · benefício r = x ÷ máx · minimização r = mín ÷ x · qualitativo r = valor da rubrica · ausência total não vira zero; evidência parcial dá r = 0 ao ausente (penalidade, Parametros B50), com máx/mín só dos observados.</t>
  </si>
  <si>
    <t xml:space="preserve">AWS (entrada)</t>
  </si>
  <si>
    <t xml:space="preserve">Google Cloud (entrada)</t>
  </si>
  <si>
    <t xml:space="preserve">Microsoft Azure (entrada)</t>
  </si>
  <si>
    <t xml:space="preserve">Tipo</t>
  </si>
  <si>
    <t xml:space="preserve">Direção</t>
  </si>
  <si>
    <t xml:space="preserve">Status</t>
  </si>
  <si>
    <t xml:space="preserve">Valor ou categoria</t>
  </si>
  <si>
    <t xml:space="preserve">Ano</t>
  </si>
  <si>
    <t xml:space="preserve">Ano FOUND AWS</t>
  </si>
  <si>
    <t xml:space="preserve">Ano FOUND Google</t>
  </si>
  <si>
    <t xml:space="preserve">Ano FOUND Azure</t>
  </si>
  <si>
    <t xml:space="preserve">Safras distantes?</t>
  </si>
  <si>
    <t xml:space="preserve">Status efetivo AWS</t>
  </si>
  <si>
    <t xml:space="preserve">Status efetivo Google</t>
  </si>
  <si>
    <t xml:space="preserve">Status efetivo Azure</t>
  </si>
  <si>
    <t xml:space="preserve">x AWS</t>
  </si>
  <si>
    <t xml:space="preserve">x Google</t>
  </si>
  <si>
    <t xml:space="preserve">x Azure</t>
  </si>
  <si>
    <t xml:space="preserve">Nº com x</t>
  </si>
  <si>
    <t xml:space="preserve">mín x</t>
  </si>
  <si>
    <t xml:space="preserve">máx x</t>
  </si>
  <si>
    <t xml:space="preserve">Motivo (normalização)</t>
  </si>
  <si>
    <t xml:space="preserve">r AWS</t>
  </si>
  <si>
    <t xml:space="preserve">r Google</t>
  </si>
  <si>
    <t xml:space="preserve">r Azure</t>
  </si>
  <si>
    <t xml:space="preserve">Mesma nota para todos?</t>
  </si>
  <si>
    <t xml:space="preserve">Motivo final da exclusão</t>
  </si>
  <si>
    <t xml:space="preserve">Entra na Eq. 5?</t>
  </si>
  <si>
    <t xml:space="preserve">r aux AWS</t>
  </si>
  <si>
    <t xml:space="preserve">r aux Google</t>
  </si>
  <si>
    <t xml:space="preserve">r aux Azure</t>
  </si>
  <si>
    <t xml:space="preserve">V aux</t>
  </si>
  <si>
    <t xml:space="preserve">Zero imputado (penalidade)</t>
  </si>
  <si>
    <t xml:space="preserve">quantitativo</t>
  </si>
  <si>
    <t xml:space="preserve">minimização</t>
  </si>
  <si>
    <t xml:space="preserve">FOUND</t>
  </si>
  <si>
    <t xml:space="preserve">benefício</t>
  </si>
  <si>
    <t xml:space="preserve">INVALID</t>
  </si>
  <si>
    <t xml:space="preserve">qualitativo</t>
  </si>
  <si>
    <t xml:space="preserve">absoluta</t>
  </si>
  <si>
    <t xml:space="preserve">NOT_FOUND</t>
  </si>
  <si>
    <t xml:space="preserve">Valor ou categoria: número publicado (quantitativo) ou nível da rubrica (qualitativo). Ano: ano da fonte (source_year). Status é o da extração, já com a checagem de unidade.</t>
  </si>
  <si>
    <t xml:space="preserve">3.1 Conjunto comparável V (§11)</t>
  </si>
  <si>
    <t xml:space="preserve">Indicadores normalizáveis (antes da regra de não discriminação)</t>
  </si>
  <si>
    <t xml:space="preserve">Deles, os que dão a mesma nota a todos os provedores</t>
  </si>
  <si>
    <t xml:space="preserve">Regra de não discriminação aplicada?</t>
  </si>
  <si>
    <t xml:space="preserve">Não se aplica se nenhum indicador separar os provedores (o conjunto ficaria vazio).</t>
  </si>
  <si>
    <t xml:space="preserve">Indicadores no conjunto V (entram na Equação 5)</t>
  </si>
  <si>
    <t xml:space="preserve">Indicadores excluídos</t>
  </si>
  <si>
    <t xml:space="preserve">Taxa de comparabilidade</t>
  </si>
  <si>
    <t xml:space="preserve">Indicadores com zero imputado (penalidade por ausência)</t>
  </si>
  <si>
    <t xml:space="preserve">Motivos de exclusão</t>
  </si>
  <si>
    <t xml:space="preserve">no_weight</t>
  </si>
  <si>
    <t xml:space="preserve">Sem peso: relevância 'não sei' ou sem resposta.</t>
  </si>
  <si>
    <t xml:space="preserve">no_evidence</t>
  </si>
  <si>
    <t xml:space="preserve">Nenhum provedor com valor utilizável (e nem todos INVALID).</t>
  </si>
  <si>
    <t xml:space="preserve">missing_for_some_providers</t>
  </si>
  <si>
    <t xml:space="preserve">Valor para parte dos provedores. Só ocorre com a regra do zero desligada (Parametros B50 = NÃO); ligada, o ausente recebe r = 0.</t>
  </si>
  <si>
    <t xml:space="preserve">invalid_for_comparison</t>
  </si>
  <si>
    <t xml:space="preserve">Todos INVALID (unidade ou safra divergente) ou fórmula indefinida entre os valores observados.</t>
  </si>
  <si>
    <t xml:space="preserve">non_discriminative</t>
  </si>
  <si>
    <t xml:space="preserve">Mesma nota para todos: não muda a ordem, só comprime a margem. A nota continua no relatório.</t>
  </si>
  <si>
    <t xml:space="preserve">Etapa 4 — Renormalização sobre o conjunto V (§11.2)</t>
  </si>
  <si>
    <t xml:space="preserve">w'_j = w_j ÷ Σ_{k∈V} w_k · o mesmo V vale para todos os provedores.</t>
  </si>
  <si>
    <t xml:space="preserve">Peso efetivo w'_j</t>
  </si>
  <si>
    <t xml:space="preserve">Σ w_k sobre V</t>
  </si>
  <si>
    <t xml:space="preserve">Σ w'_j (deve ser 1)</t>
  </si>
  <si>
    <t xml:space="preserve">4.1 Peso de cada dimensão: declarado no AHP × efetivamente usado na Equação 5</t>
  </si>
  <si>
    <t xml:space="preserve">W_d (AHP)</t>
  </si>
  <si>
    <t xml:space="preserve">Peso efetivo</t>
  </si>
  <si>
    <t xml:space="preserve">Diferença</t>
  </si>
  <si>
    <t xml:space="preserve">É o 'dimension_effective_weights' do relatório. Os dois só coincidem quando nenhum indicador é excluído.</t>
  </si>
  <si>
    <t xml:space="preserve">Etapa 5 — Pontuação global e ranking (Equação 5)</t>
  </si>
  <si>
    <t xml:space="preserve">backend/app/domain/scoring.py · S_i = Σ_{j∈V} w'_j × r_ij · contribuição = w'_j × r_ij.</t>
  </si>
  <si>
    <t xml:space="preserve">w'_j</t>
  </si>
  <si>
    <t xml:space="preserve">Contribuição AWS</t>
  </si>
  <si>
    <t xml:space="preserve">Contribuição Google</t>
  </si>
  <si>
    <t xml:space="preserve">Contribuição Azure</t>
  </si>
  <si>
    <t xml:space="preserve">S_i</t>
  </si>
  <si>
    <t xml:space="preserve">5.1 Por dimensão (cards do relatório)</t>
  </si>
  <si>
    <t xml:space="preserve">Desempenho AWS</t>
  </si>
  <si>
    <t xml:space="preserve">Desempenho Google</t>
  </si>
  <si>
    <t xml:space="preserve">Desempenho Azure</t>
  </si>
  <si>
    <t xml:space="preserve">Desempenho = contribuição ÷ peso efetivo da dimensão (média das notas ponderada dentro dela).</t>
  </si>
  <si>
    <t xml:space="preserve">5.2 Ranking com margem de indiferença (§12)</t>
  </si>
  <si>
    <t xml:space="preserve">Provedor</t>
  </si>
  <si>
    <t xml:space="preserve">Chave de ordenação</t>
  </si>
  <si>
    <t xml:space="preserve">AWS</t>
  </si>
  <si>
    <t xml:space="preserve">Em pontuação igual, ordem alfabética do nome (como o código).</t>
  </si>
  <si>
    <t xml:space="preserve">Google Cloud</t>
  </si>
  <si>
    <t xml:space="preserve">Microsoft Azure</t>
  </si>
  <si>
    <t xml:space="preserve">Ordem</t>
  </si>
  <si>
    <t xml:space="preserve">Pontuação</t>
  </si>
  <si>
    <t xml:space="preserve">Líder do grupo</t>
  </si>
  <si>
    <t xml:space="preserve">Empatado com o anterior?</t>
  </si>
  <si>
    <t xml:space="preserve">Posição</t>
  </si>
  <si>
    <t xml:space="preserve">não</t>
  </si>
  <si>
    <t xml:space="preserve">Líder</t>
  </si>
  <si>
    <t xml:space="preserve">Margem (1º − 2º)</t>
  </si>
  <si>
    <t xml:space="preserve">Empate no 1º lugar?</t>
  </si>
  <si>
    <t xml:space="preserve">Há empate no ranking (has_ties)?</t>
  </si>
  <si>
    <t xml:space="preserve">Etapa 6 — Sensibilidade do líder ao peso de cada dimensão</t>
  </si>
  <si>
    <t xml:space="preserve">backend/app/domain/sensitivity.py · W_d varre [0,1]; as outras dimensões são reescaladas na proporção; pesos refeitos sobre o mesmo V; procura o menor Δ que troca o líder.</t>
  </si>
  <si>
    <t xml:space="preserve">Líder atual</t>
  </si>
  <si>
    <t xml:space="preserve">Posição do líder na lista AWS, Google, Azure</t>
  </si>
  <si>
    <t xml:space="preserve">Passo</t>
  </si>
  <si>
    <t xml:space="preserve">6.1 Resultado por dimensão</t>
  </si>
  <si>
    <t xml:space="preserve">W_d atual</t>
  </si>
  <si>
    <t xml:space="preserve">Troca o líder?</t>
  </si>
  <si>
    <t xml:space="preserve">Menor |Δ|</t>
  </si>
  <si>
    <t xml:space="preserve">Δ com sinal</t>
  </si>
  <si>
    <t xml:space="preserve">W_d na virada</t>
  </si>
  <si>
    <t xml:space="preserve">Novo líder</t>
  </si>
  <si>
    <t xml:space="preserve">Dimensão mais frágil</t>
  </si>
  <si>
    <t xml:space="preserve">Como o código (sensitivity.py:91): menor Δ COM SINAL, não menor |Δ|. Um Δ negativo sempre vence um positivo, mesmo maior em módulo.</t>
  </si>
  <si>
    <t xml:space="preserve">Ranking robusto?</t>
  </si>
  <si>
    <t xml:space="preserve">Varredura — Sustentabilidade</t>
  </si>
  <si>
    <t xml:space="preserve">Varredura — Desempenho Operacional</t>
  </si>
  <si>
    <t xml:space="preserve">Varredura — Segurança da Informação</t>
  </si>
  <si>
    <t xml:space="preserve">W_d testado</t>
  </si>
  <si>
    <t xml:space="preserve">Σ pesos sobre V</t>
  </si>
  <si>
    <t xml:space="preserve">S AWS</t>
  </si>
  <si>
    <t xml:space="preserve">S Google</t>
  </si>
  <si>
    <t xml:space="preserve">S Azure</t>
  </si>
  <si>
    <t xml:space="preserve">|Δ| se troca</t>
  </si>
  <si>
    <t xml:space="preserve">Etapa 7 — Conferência contra o relatório publicado · Simulação: Foco em Segurança da Informação</t>
  </si>
  <si>
    <t xml:space="preserve">Coluna B: o que o relatório publicou (envio de 29/09: zero para evidência parcial e indicador de nota igual mantido na soma). Coluna C: o que a planilha recalcula. Coluna G: o relatório do envio original de 23/09, pela regra anterior. Tolerância em Parametros.</t>
  </si>
  <si>
    <t xml:space="preserve">Relatório de referência</t>
  </si>
  <si>
    <t xml:space="preserve">Submissão ce0f9d95e77a4017af6056baa0009556 · d99dde2a8459… · 5bfa4af68600… · Simulação — foco em segurança da informação (reenvio de 29/09/2026) (reenvio de 29/09/2026, sem excluir non_discriminative)</t>
  </si>
  <si>
    <t xml:space="preserve">Grandeza</t>
  </si>
  <si>
    <t xml:space="preserve">Relatório (entrada)</t>
  </si>
  <si>
    <t xml:space="preserve">Planilha</t>
  </si>
  <si>
    <t xml:space="preserve">Δ</t>
  </si>
  <si>
    <t xml:space="preserve">Onde é calculado</t>
  </si>
  <si>
    <t xml:space="preserve">Relatório de 23/09 (regra anterior)</t>
  </si>
  <si>
    <t xml:space="preserve">W — Sustentabilidade</t>
  </si>
  <si>
    <t xml:space="preserve">AHP_Dimensoes 1.3</t>
  </si>
  <si>
    <t xml:space="preserve">W — Desempenho Operacional</t>
  </si>
  <si>
    <t xml:space="preserve">W — Segurança da Informação</t>
  </si>
  <si>
    <t xml:space="preserve">λmax</t>
  </si>
  <si>
    <t xml:space="preserve">AHP_Dimensoes 1.4</t>
  </si>
  <si>
    <t xml:space="preserve">CI</t>
  </si>
  <si>
    <t xml:space="preserve">RI (n = 3)</t>
  </si>
  <si>
    <t xml:space="preserve">Parametros</t>
  </si>
  <si>
    <t xml:space="preserve">CR</t>
  </si>
  <si>
    <t xml:space="preserve">Indicadores no conjunto V</t>
  </si>
  <si>
    <t xml:space="preserve">Normalizacao 3.1</t>
  </si>
  <si>
    <t xml:space="preserve">Σ w'_j</t>
  </si>
  <si>
    <t xml:space="preserve">Pesos_Efetivos</t>
  </si>
  <si>
    <t xml:space="preserve">Peso efetivo — Sustentabilidade</t>
  </si>
  <si>
    <t xml:space="preserve">Pesos_Efetivos 4.1</t>
  </si>
  <si>
    <t xml:space="preserve">Peso efetivo — Desempenho Operacional</t>
  </si>
  <si>
    <t xml:space="preserve">Peso efetivo — Segurança da Informação</t>
  </si>
  <si>
    <t xml:space="preserve">S — AWS</t>
  </si>
  <si>
    <t xml:space="preserve">Pontuacao</t>
  </si>
  <si>
    <t xml:space="preserve">S — Google Cloud</t>
  </si>
  <si>
    <t xml:space="preserve">S — Microsoft Azure</t>
  </si>
  <si>
    <t xml:space="preserve">Pontuacao 5.2</t>
  </si>
  <si>
    <t xml:space="preserve">Δ de virada — Sustentabilidade</t>
  </si>
  <si>
    <t xml:space="preserve">Sensibilidade 6.1</t>
  </si>
  <si>
    <t xml:space="preserve">Δ de virada — Desempenho Operacional</t>
  </si>
  <si>
    <t xml:space="preserve">Δ de virada — Segurança da Informação</t>
  </si>
  <si>
    <t xml:space="preserve">Primeiro colocado</t>
  </si>
  <si>
    <t xml:space="preserve">Julgamento de consistência</t>
  </si>
  <si>
    <t xml:space="preserve">CONSISTENTE</t>
  </si>
  <si>
    <t xml:space="preserve">Há empate no ranking?</t>
  </si>
  <si>
    <t xml:space="preserve">sim</t>
  </si>
  <si>
    <t xml:space="preserve">Excluídos por dar a mesma nota a todos</t>
  </si>
  <si>
    <t xml:space="preserve">Normalizacao</t>
  </si>
  <si>
    <t xml:space="preserve">Situação geral</t>
  </si>
  <si>
    <t xml:space="preserve">O relatório publica 4 a 6 casas decimais; os Δ de virada saem com 4, daí a tolerância de 0,0005.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</si>
</sst>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.00"/>
    <numFmt numFmtId="167" formatCode="0.000"/>
    <numFmt numFmtId="168" formatCode="0.00%"/>
    <numFmt numFmtId="169" formatCode="0.0000"/>
    <numFmt numFmtId="170" formatCode="0.000000"/>
    <numFmt numFmtId="171" formatCode="0.000000000"/>
    <numFmt numFmtId="172" formatCode="0.00E+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BDD7EE"/>
        <bgColor rgb="FFD9D9D9"/>
      </patternFill>
    </fill>
    <fill>
      <patternFill patternType="solid">
        <fgColor rgb="FFF8CBAD"/>
        <bgColor rgb="FFF8D7DA"/>
      </patternFill>
    </fill>
    <fill>
      <patternFill patternType="solid">
        <fgColor rgb="FFD9C3E9"/>
        <bgColor rgb="FFD9D9D9"/>
      </patternFill>
    </fill>
    <fill>
      <patternFill patternType="solid">
        <fgColor rgb="FFE2EFDA"/>
        <bgColor rgb="FFFFF2CC"/>
      </patternFill>
    </fill>
    <fill>
      <patternFill patternType="solid">
        <fgColor rgb="FFA9D08E"/>
        <bgColor rgb="FFBFBFBF"/>
      </patternFill>
    </fill>
    <fill>
      <patternFill patternType="solid">
        <fgColor rgb="FFD9D9D9"/>
        <bgColor rgb="FFBDD7EE"/>
      </patternFill>
    </fill>
    <fill>
      <patternFill patternType="solid">
        <fgColor rgb="FF808080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i val="1"/>
        <color rgb="FF9C0006"/>
      </font>
      <fill>
        <patternFill>
          <bgColor rgb="FFF8D7DA"/>
        </patternFill>
      </fill>
    </dxf>
    <dxf>
      <fill>
        <patternFill>
          <bgColor rgb="FFF8CBAD"/>
        </patternFill>
      </fill>
    </dxf>
  </dxfs>
  <colors>
    <indexedColors>
      <rgbColor rgb="FF000000"/>
      <rgbColor rgb="FFF8D7DA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D9D9"/>
      <rgbColor rgb="FF660066"/>
      <rgbColor rgb="FFFF8080"/>
      <rgbColor rgb="FF0066CC"/>
      <rgbColor rgb="FFD9C3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BDD7EE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9D08E"/>
      <rgbColor rgb="FF003366"/>
      <rgbColor rgb="FF339966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0"/>
    <col collapsed="false" customWidth="true" hidden="false" outlineLevel="0" max="4" min="4" style="1" width="12"/>
    <col collapsed="false" customWidth="true" hidden="false" outlineLevel="0" max="5" min="5" style="1" width="9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23.2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1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3"/>
    </row>
    <row r="8" customFormat="false" ht="15" hidden="false" customHeight="true" outlineLevel="0" collapsed="false">
      <c r="A8" s="3" t="s">
        <v>8</v>
      </c>
      <c r="D8" s="3" t="s">
        <v>9</v>
      </c>
    </row>
    <row r="9" customFormat="false" ht="15" hidden="false" customHeight="true" outlineLevel="0" collapsed="false">
      <c r="A9" s="6" t="s">
        <v>10</v>
      </c>
      <c r="B9" s="5" t="s">
        <v>11</v>
      </c>
      <c r="D9" s="7" t="s">
        <v>12</v>
      </c>
      <c r="E9" s="8" t="s">
        <v>13</v>
      </c>
    </row>
    <row r="10" customFormat="false" ht="15" hidden="false" customHeight="true" outlineLevel="0" collapsed="false">
      <c r="A10" s="4" t="s">
        <v>14</v>
      </c>
      <c r="B10" s="5" t="s">
        <v>15</v>
      </c>
      <c r="D10" s="9" t="s">
        <v>16</v>
      </c>
      <c r="E10" s="8" t="s">
        <v>17</v>
      </c>
    </row>
    <row r="11" customFormat="false" ht="15" hidden="false" customHeight="true" outlineLevel="0" collapsed="false">
      <c r="A11" s="10" t="s">
        <v>18</v>
      </c>
      <c r="B11" s="5" t="s">
        <v>19</v>
      </c>
      <c r="D11" s="11" t="s">
        <v>20</v>
      </c>
      <c r="E11" s="8" t="s">
        <v>21</v>
      </c>
    </row>
    <row r="12" customFormat="false" ht="15" hidden="false" customHeight="true" outlineLevel="0" collapsed="false">
      <c r="A12" s="12" t="s">
        <v>22</v>
      </c>
      <c r="B12" s="5" t="s">
        <v>23</v>
      </c>
      <c r="D12" s="13" t="s">
        <v>24</v>
      </c>
      <c r="E12" s="8" t="s">
        <v>25</v>
      </c>
    </row>
    <row r="13" customFormat="false" ht="15" hidden="false" customHeight="true" outlineLevel="0" collapsed="false">
      <c r="A13" s="3"/>
    </row>
    <row r="14" customFormat="false" ht="15" hidden="false" customHeight="true" outlineLevel="0" collapsed="false">
      <c r="A14" s="3" t="s">
        <v>26</v>
      </c>
    </row>
    <row r="15" customFormat="false" ht="15" hidden="false" customHeight="true" outlineLevel="0" collapsed="false">
      <c r="A15" s="4" t="s">
        <v>27</v>
      </c>
      <c r="B15" s="5" t="s">
        <v>28</v>
      </c>
    </row>
    <row r="16" customFormat="false" ht="15" hidden="false" customHeight="true" outlineLevel="0" collapsed="false">
      <c r="A16" s="4" t="s">
        <v>29</v>
      </c>
      <c r="B16" s="5" t="s">
        <v>30</v>
      </c>
    </row>
    <row r="17" customFormat="false" ht="15" hidden="false" customHeight="true" outlineLevel="0" collapsed="false">
      <c r="A17" s="4" t="s">
        <v>31</v>
      </c>
      <c r="B17" s="5" t="s">
        <v>32</v>
      </c>
    </row>
    <row r="18" customFormat="false" ht="15" hidden="false" customHeight="true" outlineLevel="0" collapsed="false">
      <c r="A18" s="4" t="s">
        <v>33</v>
      </c>
      <c r="B18" s="5" t="s">
        <v>34</v>
      </c>
    </row>
    <row r="19" customFormat="false" ht="15" hidden="false" customHeight="true" outlineLevel="0" collapsed="false">
      <c r="A19" s="4" t="s">
        <v>35</v>
      </c>
      <c r="B19" s="5" t="s">
        <v>36</v>
      </c>
    </row>
    <row r="20" customFormat="false" ht="15" hidden="false" customHeight="true" outlineLevel="0" collapsed="false">
      <c r="A20" s="4" t="s">
        <v>37</v>
      </c>
      <c r="B20" s="5" t="s">
        <v>38</v>
      </c>
    </row>
    <row r="21" customFormat="false" ht="15" hidden="false" customHeight="true" outlineLevel="0" collapsed="false">
      <c r="A21" s="4" t="s">
        <v>39</v>
      </c>
      <c r="B21" s="5" t="s">
        <v>40</v>
      </c>
    </row>
    <row r="22" customFormat="false" ht="15" hidden="false" customHeight="true" outlineLevel="0" collapsed="false">
      <c r="A22" s="4" t="s">
        <v>41</v>
      </c>
      <c r="B22" s="5" t="s">
        <v>42</v>
      </c>
    </row>
    <row r="23" customFormat="false" ht="15" hidden="false" customHeight="true" outlineLevel="0" collapsed="false">
      <c r="A23" s="3"/>
    </row>
    <row r="24" customFormat="false" ht="15" hidden="false" customHeight="true" outlineLevel="0" collapsed="false">
      <c r="A24" s="3" t="s">
        <v>43</v>
      </c>
    </row>
    <row r="25" customFormat="false" ht="15" hidden="false" customHeight="true" outlineLevel="0" collapsed="false">
      <c r="A25" s="4" t="s">
        <v>44</v>
      </c>
      <c r="B25" s="5" t="s">
        <v>45</v>
      </c>
    </row>
    <row r="26" customFormat="false" ht="15" hidden="false" customHeight="true" outlineLevel="0" collapsed="false">
      <c r="A26" s="4" t="s">
        <v>46</v>
      </c>
      <c r="B26" s="5" t="s">
        <v>47</v>
      </c>
    </row>
    <row r="27" customFormat="false" ht="15" hidden="false" customHeight="true" outlineLevel="0" collapsed="false">
      <c r="A27" s="4" t="s">
        <v>48</v>
      </c>
      <c r="B27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44"/>
  </cols>
  <sheetData>
    <row r="1" customFormat="false" ht="15.75" hidden="false" customHeight="true" outlineLevel="0" collapsed="false">
      <c r="A1" s="14" t="s">
        <v>50</v>
      </c>
    </row>
    <row r="2" customFormat="false" ht="15" hidden="false" customHeight="true" outlineLevel="0" collapsed="false">
      <c r="A2" s="15" t="s">
        <v>51</v>
      </c>
    </row>
    <row r="4" customFormat="false" ht="15" hidden="false" customHeight="true" outlineLevel="0" collapsed="false">
      <c r="A4" s="3" t="s">
        <v>52</v>
      </c>
    </row>
    <row r="5" customFormat="false" ht="15" hidden="false" customHeight="true" outlineLevel="0" collapsed="false">
      <c r="A5" s="16" t="s">
        <v>53</v>
      </c>
      <c r="B5" s="16" t="s">
        <v>54</v>
      </c>
    </row>
    <row r="6" customFormat="false" ht="15" hidden="false" customHeight="true" outlineLevel="0" collapsed="false">
      <c r="A6" s="17" t="s">
        <v>55</v>
      </c>
      <c r="B6" s="18" t="n">
        <v>3</v>
      </c>
    </row>
    <row r="7" customFormat="false" ht="15" hidden="false" customHeight="true" outlineLevel="0" collapsed="false">
      <c r="A7" s="17" t="s">
        <v>56</v>
      </c>
      <c r="B7" s="18" t="n">
        <v>5</v>
      </c>
    </row>
    <row r="8" customFormat="false" ht="15" hidden="false" customHeight="true" outlineLevel="0" collapsed="false">
      <c r="A8" s="17" t="s">
        <v>57</v>
      </c>
      <c r="B8" s="18" t="n">
        <v>7</v>
      </c>
    </row>
    <row r="9" customFormat="false" ht="15" hidden="false" customHeight="true" outlineLevel="0" collapsed="false">
      <c r="A9" s="17" t="s">
        <v>58</v>
      </c>
      <c r="B9" s="18" t="n">
        <v>9</v>
      </c>
    </row>
    <row r="11" customFormat="false" ht="15" hidden="false" customHeight="true" outlineLevel="0" collapsed="false">
      <c r="A11" s="3" t="s">
        <v>59</v>
      </c>
    </row>
    <row r="12" customFormat="false" ht="15" hidden="false" customHeight="true" outlineLevel="0" collapsed="false">
      <c r="A12" s="16" t="s">
        <v>60</v>
      </c>
      <c r="B12" s="16" t="s">
        <v>61</v>
      </c>
    </row>
    <row r="13" customFormat="false" ht="15" hidden="false" customHeight="true" outlineLevel="0" collapsed="false">
      <c r="A13" s="17" t="n">
        <v>1</v>
      </c>
      <c r="B13" s="18" t="n">
        <v>0</v>
      </c>
    </row>
    <row r="14" customFormat="false" ht="15" hidden="false" customHeight="true" outlineLevel="0" collapsed="false">
      <c r="A14" s="17" t="n">
        <v>2</v>
      </c>
      <c r="B14" s="18" t="n">
        <v>0</v>
      </c>
    </row>
    <row r="15" customFormat="false" ht="15" hidden="false" customHeight="true" outlineLevel="0" collapsed="false">
      <c r="A15" s="17" t="n">
        <v>3</v>
      </c>
      <c r="B15" s="18" t="n">
        <v>0.58</v>
      </c>
    </row>
    <row r="16" customFormat="false" ht="15" hidden="false" customHeight="true" outlineLevel="0" collapsed="false">
      <c r="A16" s="17" t="n">
        <v>4</v>
      </c>
      <c r="B16" s="18" t="n">
        <v>0.9</v>
      </c>
    </row>
    <row r="17" customFormat="false" ht="15" hidden="false" customHeight="true" outlineLevel="0" collapsed="false">
      <c r="A17" s="17" t="n">
        <v>5</v>
      </c>
      <c r="B17" s="18" t="n">
        <v>1.12</v>
      </c>
    </row>
    <row r="18" customFormat="false" ht="15" hidden="false" customHeight="true" outlineLevel="0" collapsed="false">
      <c r="A18" s="17" t="n">
        <v>6</v>
      </c>
      <c r="B18" s="18" t="n">
        <v>1.24</v>
      </c>
    </row>
    <row r="19" customFormat="false" ht="15" hidden="false" customHeight="true" outlineLevel="0" collapsed="false">
      <c r="A19" s="17" t="n">
        <v>7</v>
      </c>
      <c r="B19" s="18" t="n">
        <v>1.32</v>
      </c>
    </row>
    <row r="20" customFormat="false" ht="15" hidden="false" customHeight="true" outlineLevel="0" collapsed="false">
      <c r="A20" s="17" t="n">
        <v>8</v>
      </c>
      <c r="B20" s="18" t="n">
        <v>1.41</v>
      </c>
    </row>
    <row r="21" customFormat="false" ht="15" hidden="false" customHeight="true" outlineLevel="0" collapsed="false">
      <c r="A21" s="17" t="n">
        <v>9</v>
      </c>
      <c r="B21" s="18" t="n">
        <v>1.45</v>
      </c>
    </row>
    <row r="22" customFormat="false" ht="15" hidden="false" customHeight="true" outlineLevel="0" collapsed="false">
      <c r="A22" s="17" t="n">
        <v>10</v>
      </c>
      <c r="B22" s="18" t="n">
        <v>1.49</v>
      </c>
    </row>
    <row r="24" customFormat="false" ht="15" hidden="false" customHeight="true" outlineLevel="0" collapsed="false">
      <c r="A24" s="3" t="s">
        <v>62</v>
      </c>
    </row>
    <row r="25" customFormat="false" ht="15" hidden="false" customHeight="true" outlineLevel="0" collapsed="false">
      <c r="A25" s="16" t="s">
        <v>63</v>
      </c>
      <c r="B25" s="16" t="s">
        <v>64</v>
      </c>
    </row>
    <row r="26" customFormat="false" ht="15" hidden="false" customHeight="true" outlineLevel="0" collapsed="false">
      <c r="A26" s="17" t="s">
        <v>65</v>
      </c>
      <c r="B26" s="18" t="n">
        <v>5</v>
      </c>
    </row>
    <row r="27" customFormat="false" ht="15" hidden="false" customHeight="true" outlineLevel="0" collapsed="false">
      <c r="A27" s="17" t="s">
        <v>66</v>
      </c>
      <c r="B27" s="18" t="n">
        <v>4</v>
      </c>
    </row>
    <row r="28" customFormat="false" ht="15" hidden="false" customHeight="true" outlineLevel="0" collapsed="false">
      <c r="A28" s="17" t="s">
        <v>67</v>
      </c>
      <c r="B28" s="18" t="n">
        <v>3</v>
      </c>
    </row>
    <row r="29" customFormat="false" ht="15" hidden="false" customHeight="true" outlineLevel="0" collapsed="false">
      <c r="A29" s="17" t="s">
        <v>68</v>
      </c>
      <c r="B29" s="18" t="n">
        <v>2</v>
      </c>
    </row>
    <row r="30" customFormat="false" ht="15" hidden="false" customHeight="true" outlineLevel="0" collapsed="false">
      <c r="A30" s="17" t="s">
        <v>69</v>
      </c>
      <c r="B30" s="18" t="n">
        <v>1</v>
      </c>
    </row>
    <row r="31" customFormat="false" ht="15" hidden="false" customHeight="true" outlineLevel="0" collapsed="false">
      <c r="A31" s="17" t="s">
        <v>70</v>
      </c>
      <c r="B31" s="18" t="s">
        <v>71</v>
      </c>
      <c r="C31" s="19" t="s">
        <v>72</v>
      </c>
    </row>
    <row r="33" customFormat="false" ht="15" hidden="false" customHeight="true" outlineLevel="0" collapsed="false">
      <c r="A33" s="3" t="s">
        <v>73</v>
      </c>
    </row>
    <row r="34" customFormat="false" ht="15" hidden="false" customHeight="true" outlineLevel="0" collapsed="false">
      <c r="A34" s="16" t="s">
        <v>74</v>
      </c>
      <c r="B34" s="16" t="s">
        <v>54</v>
      </c>
    </row>
    <row r="35" customFormat="false" ht="15" hidden="false" customHeight="true" outlineLevel="0" collapsed="false">
      <c r="A35" s="17" t="s">
        <v>75</v>
      </c>
      <c r="B35" s="18" t="s">
        <v>76</v>
      </c>
      <c r="C35" s="19" t="s">
        <v>77</v>
      </c>
    </row>
    <row r="36" customFormat="false" ht="15" hidden="false" customHeight="true" outlineLevel="0" collapsed="false">
      <c r="A36" s="17" t="s">
        <v>78</v>
      </c>
      <c r="B36" s="18" t="n">
        <v>0.25</v>
      </c>
    </row>
    <row r="37" customFormat="false" ht="15" hidden="false" customHeight="true" outlineLevel="0" collapsed="false">
      <c r="A37" s="17" t="s">
        <v>79</v>
      </c>
      <c r="B37" s="18" t="n">
        <v>0.5</v>
      </c>
    </row>
    <row r="38" customFormat="false" ht="15" hidden="false" customHeight="true" outlineLevel="0" collapsed="false">
      <c r="A38" s="17" t="s">
        <v>80</v>
      </c>
      <c r="B38" s="18" t="n">
        <v>0.75</v>
      </c>
    </row>
    <row r="39" customFormat="false" ht="15" hidden="false" customHeight="true" outlineLevel="0" collapsed="false">
      <c r="A39" s="17" t="s">
        <v>81</v>
      </c>
      <c r="B39" s="18" t="n">
        <v>1</v>
      </c>
    </row>
    <row r="41" customFormat="false" ht="15" hidden="false" customHeight="true" outlineLevel="0" collapsed="false">
      <c r="A41" s="3" t="s">
        <v>82</v>
      </c>
    </row>
    <row r="42" customFormat="false" ht="15" hidden="false" customHeight="true" outlineLevel="0" collapsed="false">
      <c r="A42" s="16" t="s">
        <v>83</v>
      </c>
      <c r="B42" s="16" t="s">
        <v>54</v>
      </c>
      <c r="C42" s="16" t="s">
        <v>84</v>
      </c>
    </row>
    <row r="43" customFormat="false" ht="15" hidden="false" customHeight="true" outlineLevel="0" collapsed="false">
      <c r="A43" s="17" t="s">
        <v>85</v>
      </c>
      <c r="B43" s="18" t="n">
        <v>0.1</v>
      </c>
      <c r="C43" s="17" t="s">
        <v>86</v>
      </c>
    </row>
    <row r="44" customFormat="false" ht="15" hidden="false" customHeight="true" outlineLevel="0" collapsed="false">
      <c r="A44" s="17" t="s">
        <v>87</v>
      </c>
      <c r="B44" s="18" t="n">
        <v>0.02</v>
      </c>
      <c r="C44" s="17" t="s">
        <v>88</v>
      </c>
    </row>
    <row r="45" customFormat="false" ht="15" hidden="false" customHeight="true" outlineLevel="0" collapsed="false">
      <c r="A45" s="17" t="s">
        <v>89</v>
      </c>
      <c r="B45" s="18" t="s">
        <v>90</v>
      </c>
      <c r="C45" s="17" t="s">
        <v>91</v>
      </c>
    </row>
    <row r="46" customFormat="false" ht="15" hidden="false" customHeight="true" outlineLevel="0" collapsed="false">
      <c r="A46" s="17" t="s">
        <v>92</v>
      </c>
      <c r="B46" s="18" t="n">
        <v>1</v>
      </c>
      <c r="C46" s="17" t="s">
        <v>93</v>
      </c>
    </row>
    <row r="47" customFormat="false" ht="15" hidden="false" customHeight="true" outlineLevel="0" collapsed="false">
      <c r="A47" s="17" t="s">
        <v>94</v>
      </c>
      <c r="B47" s="18" t="n">
        <v>1E-009</v>
      </c>
      <c r="C47" s="17" t="s">
        <v>95</v>
      </c>
    </row>
    <row r="48" customFormat="false" ht="15" hidden="false" customHeight="true" outlineLevel="0" collapsed="false">
      <c r="A48" s="17" t="s">
        <v>96</v>
      </c>
      <c r="B48" s="18" t="n">
        <v>0.005</v>
      </c>
      <c r="C48" s="17" t="s">
        <v>97</v>
      </c>
    </row>
    <row r="49" customFormat="false" ht="15" hidden="false" customHeight="true" outlineLevel="0" collapsed="false">
      <c r="A49" s="17" t="s">
        <v>98</v>
      </c>
      <c r="B49" s="18" t="n">
        <v>0.0005</v>
      </c>
      <c r="C49" s="17" t="s">
        <v>99</v>
      </c>
    </row>
    <row r="50" customFormat="false" ht="15" hidden="false" customHeight="true" outlineLevel="0" collapsed="false">
      <c r="A50" s="17" t="s">
        <v>100</v>
      </c>
      <c r="B50" s="18" t="s">
        <v>101</v>
      </c>
      <c r="C50" s="17" t="s">
        <v>102</v>
      </c>
      <c r="D50" s="19" t="s">
        <v>103</v>
      </c>
    </row>
  </sheetData>
  <dataValidations count="2">
    <dataValidation allowBlank="true" errorStyle="stop" operator="between" showDropDown="false" showErrorMessage="false" showInputMessage="false" sqref="B45" type="list">
      <formula1>"SIM,NÃO"</formula1>
      <formula2>0</formula2>
    </dataValidation>
    <dataValidation allowBlank="false" errorStyle="stop" operator="between" showDropDown="false" showErrorMessage="false" showInputMessage="false" sqref="B5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6" activeCellId="0" sqref="C3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24"/>
    <col collapsed="false" customWidth="true" hidden="false" outlineLevel="0" max="5" min="5" style="1" width="14"/>
    <col collapsed="false" customWidth="true" hidden="false" outlineLevel="0" max="6" min="6" style="1" width="12"/>
  </cols>
  <sheetData>
    <row r="1" customFormat="false" ht="15.75" hidden="false" customHeight="true" outlineLevel="0" collapsed="false">
      <c r="A1" s="14" t="s">
        <v>104</v>
      </c>
    </row>
    <row r="2" customFormat="false" ht="15" hidden="false" customHeight="true" outlineLevel="0" collapsed="false">
      <c r="A2" s="15" t="s">
        <v>105</v>
      </c>
    </row>
    <row r="4" customFormat="false" ht="15" hidden="false" customHeight="true" outlineLevel="0" collapsed="false">
      <c r="A4" s="3" t="s">
        <v>106</v>
      </c>
    </row>
    <row r="5" customFormat="false" ht="15" hidden="false" customHeight="true" outlineLevel="0" collapsed="false">
      <c r="A5" s="16" t="s">
        <v>107</v>
      </c>
      <c r="B5" s="16" t="s">
        <v>108</v>
      </c>
      <c r="C5" s="16" t="s">
        <v>109</v>
      </c>
      <c r="D5" s="16" t="s">
        <v>53</v>
      </c>
      <c r="E5" s="16" t="s">
        <v>110</v>
      </c>
      <c r="F5" s="16" t="s">
        <v>111</v>
      </c>
    </row>
    <row r="6" customFormat="false" ht="15" hidden="false" customHeight="true" outlineLevel="0" collapsed="false">
      <c r="A6" s="17" t="s">
        <v>112</v>
      </c>
      <c r="B6" s="17" t="s">
        <v>113</v>
      </c>
      <c r="C6" s="20" t="s">
        <v>114</v>
      </c>
      <c r="D6" s="20"/>
      <c r="E6" s="21" t="n">
        <f aca="false">IF(C6="Igual",1,IFERROR(VLOOKUP(D6,Parametros!$A$6:$B$9,2,FALSE()),""))</f>
        <v>1</v>
      </c>
      <c r="F6" s="22" t="n">
        <f aca="false">IF(C6="Igual",1,IF(C6="A",E6,1/E6))</f>
        <v>1</v>
      </c>
    </row>
    <row r="7" customFormat="false" ht="15" hidden="false" customHeight="true" outlineLevel="0" collapsed="false">
      <c r="A7" s="17" t="s">
        <v>112</v>
      </c>
      <c r="B7" s="17" t="s">
        <v>115</v>
      </c>
      <c r="C7" s="20" t="s">
        <v>116</v>
      </c>
      <c r="D7" s="20" t="s">
        <v>58</v>
      </c>
      <c r="E7" s="21" t="n">
        <f aca="false">IF(C7="Igual",1,IFERROR(VLOOKUP(D7,Parametros!$A$6:$B$9,2,FALSE()),""))</f>
        <v>9</v>
      </c>
      <c r="F7" s="22" t="n">
        <f aca="false">IF(C7="Igual",1,IF(C7="A",E7,1/E7))</f>
        <v>0.111111111111111</v>
      </c>
    </row>
    <row r="8" customFormat="false" ht="15" hidden="false" customHeight="true" outlineLevel="0" collapsed="false">
      <c r="A8" s="17" t="s">
        <v>113</v>
      </c>
      <c r="B8" s="17" t="s">
        <v>115</v>
      </c>
      <c r="C8" s="20" t="s">
        <v>116</v>
      </c>
      <c r="D8" s="20" t="s">
        <v>58</v>
      </c>
      <c r="E8" s="21" t="n">
        <f aca="false">IF(C8="Igual",1,IFERROR(VLOOKUP(D8,Parametros!$A$6:$B$9,2,FALSE()),""))</f>
        <v>9</v>
      </c>
      <c r="F8" s="22" t="n">
        <f aca="false">IF(C8="Igual",1,IF(C8="A",E8,1/E8))</f>
        <v>0.111111111111111</v>
      </c>
    </row>
    <row r="9" customFormat="false" ht="15" hidden="false" customHeight="true" outlineLevel="0" collapsed="false">
      <c r="A9" s="19" t="s">
        <v>117</v>
      </c>
    </row>
    <row r="11" customFormat="false" ht="15" hidden="false" customHeight="true" outlineLevel="0" collapsed="false">
      <c r="A11" s="3" t="s">
        <v>118</v>
      </c>
    </row>
    <row r="12" customFormat="false" ht="15" hidden="false" customHeight="true" outlineLevel="0" collapsed="false">
      <c r="B12" s="16" t="s">
        <v>112</v>
      </c>
      <c r="C12" s="16" t="s">
        <v>113</v>
      </c>
      <c r="D12" s="16" t="s">
        <v>115</v>
      </c>
    </row>
    <row r="13" customFormat="false" ht="15" hidden="false" customHeight="true" outlineLevel="0" collapsed="false">
      <c r="A13" s="17" t="s">
        <v>112</v>
      </c>
      <c r="B13" s="23" t="n">
        <f aca="false">1</f>
        <v>1</v>
      </c>
      <c r="C13" s="23" t="n">
        <f aca="false">F6</f>
        <v>1</v>
      </c>
      <c r="D13" s="23" t="n">
        <f aca="false">F7</f>
        <v>0.111111111111111</v>
      </c>
    </row>
    <row r="14" customFormat="false" ht="15" hidden="false" customHeight="true" outlineLevel="0" collapsed="false">
      <c r="A14" s="17" t="s">
        <v>113</v>
      </c>
      <c r="B14" s="23" t="n">
        <f aca="false">1/C13</f>
        <v>1</v>
      </c>
      <c r="C14" s="23" t="n">
        <f aca="false">1</f>
        <v>1</v>
      </c>
      <c r="D14" s="23" t="n">
        <f aca="false">F8</f>
        <v>0.111111111111111</v>
      </c>
    </row>
    <row r="15" customFormat="false" ht="15" hidden="false" customHeight="true" outlineLevel="0" collapsed="false">
      <c r="A15" s="17" t="s">
        <v>115</v>
      </c>
      <c r="B15" s="23" t="n">
        <f aca="false">1/D13</f>
        <v>9</v>
      </c>
      <c r="C15" s="23" t="n">
        <f aca="false">1/D14</f>
        <v>9</v>
      </c>
      <c r="D15" s="23" t="n">
        <f aca="false">1</f>
        <v>1</v>
      </c>
    </row>
    <row r="16" customFormat="false" ht="15" hidden="false" customHeight="true" outlineLevel="0" collapsed="false">
      <c r="A16" s="17" t="s">
        <v>119</v>
      </c>
      <c r="B16" s="22" t="n">
        <f aca="false">SUM(B13:B15)</f>
        <v>11</v>
      </c>
      <c r="C16" s="22" t="n">
        <f aca="false">SUM(C13:C15)</f>
        <v>11</v>
      </c>
      <c r="D16" s="22" t="n">
        <f aca="false">SUM(D13:D15)</f>
        <v>1.22222222222222</v>
      </c>
    </row>
    <row r="18" customFormat="false" ht="15" hidden="false" customHeight="true" outlineLevel="0" collapsed="false">
      <c r="A18" s="3" t="s">
        <v>120</v>
      </c>
    </row>
    <row r="19" customFormat="false" ht="15" hidden="false" customHeight="true" outlineLevel="0" collapsed="false">
      <c r="B19" s="16" t="s">
        <v>112</v>
      </c>
      <c r="C19" s="16" t="s">
        <v>113</v>
      </c>
      <c r="D19" s="16" t="s">
        <v>115</v>
      </c>
      <c r="E19" s="16" t="s">
        <v>121</v>
      </c>
      <c r="F19" s="16" t="s">
        <v>122</v>
      </c>
    </row>
    <row r="20" customFormat="false" ht="15" hidden="false" customHeight="true" outlineLevel="0" collapsed="false">
      <c r="A20" s="17" t="s">
        <v>112</v>
      </c>
      <c r="B20" s="22" t="n">
        <f aca="false">B13/B$16</f>
        <v>0.0909090909090909</v>
      </c>
      <c r="C20" s="22" t="n">
        <f aca="false">C13/C$16</f>
        <v>0.0909090909090909</v>
      </c>
      <c r="D20" s="22" t="n">
        <f aca="false">D13/D$16</f>
        <v>0.0909090909090909</v>
      </c>
      <c r="E20" s="24" t="n">
        <f aca="false">AVERAGE(B20:D20)</f>
        <v>0.0909090909090909</v>
      </c>
      <c r="F20" s="25" t="n">
        <f aca="false">E20</f>
        <v>0.0909090909090909</v>
      </c>
    </row>
    <row r="21" customFormat="false" ht="15" hidden="false" customHeight="true" outlineLevel="0" collapsed="false">
      <c r="A21" s="17" t="s">
        <v>113</v>
      </c>
      <c r="B21" s="22" t="n">
        <f aca="false">B14/B$16</f>
        <v>0.0909090909090909</v>
      </c>
      <c r="C21" s="22" t="n">
        <f aca="false">C14/C$16</f>
        <v>0.0909090909090909</v>
      </c>
      <c r="D21" s="22" t="n">
        <f aca="false">D14/D$16</f>
        <v>0.0909090909090909</v>
      </c>
      <c r="E21" s="24" t="n">
        <f aca="false">AVERAGE(B21:D21)</f>
        <v>0.0909090909090909</v>
      </c>
      <c r="F21" s="25" t="n">
        <f aca="false">E21</f>
        <v>0.0909090909090909</v>
      </c>
    </row>
    <row r="22" customFormat="false" ht="15" hidden="false" customHeight="true" outlineLevel="0" collapsed="false">
      <c r="A22" s="17" t="s">
        <v>115</v>
      </c>
      <c r="B22" s="22" t="n">
        <f aca="false">B15/B$16</f>
        <v>0.818181818181818</v>
      </c>
      <c r="C22" s="22" t="n">
        <f aca="false">C15/C$16</f>
        <v>0.818181818181818</v>
      </c>
      <c r="D22" s="22" t="n">
        <f aca="false">D15/D$16</f>
        <v>0.818181818181818</v>
      </c>
      <c r="E22" s="24" t="n">
        <f aca="false">AVERAGE(B22:D22)</f>
        <v>0.818181818181818</v>
      </c>
      <c r="F22" s="25" t="n">
        <f aca="false">E22</f>
        <v>0.818181818181818</v>
      </c>
    </row>
    <row r="23" customFormat="false" ht="15" hidden="false" customHeight="true" outlineLevel="0" collapsed="false">
      <c r="A23" s="17" t="s">
        <v>123</v>
      </c>
      <c r="E23" s="26" t="n">
        <f aca="false">SUM(E20:E22)</f>
        <v>1</v>
      </c>
      <c r="F23" s="27" t="str">
        <f aca="false">IF(ABS(E23-1)&lt;0.000001,"OK","DIVERGE")</f>
        <v>OK</v>
      </c>
    </row>
    <row r="25" customFormat="false" ht="15" hidden="false" customHeight="true" outlineLevel="0" collapsed="false">
      <c r="A25" s="3" t="s">
        <v>124</v>
      </c>
    </row>
    <row r="26" customFormat="false" ht="15" hidden="false" customHeight="true" outlineLevel="0" collapsed="false">
      <c r="A26" s="16" t="s">
        <v>125</v>
      </c>
      <c r="B26" s="16" t="s">
        <v>126</v>
      </c>
      <c r="C26" s="16" t="s">
        <v>127</v>
      </c>
    </row>
    <row r="27" customFormat="false" ht="15" hidden="false" customHeight="true" outlineLevel="0" collapsed="false">
      <c r="A27" s="17" t="s">
        <v>112</v>
      </c>
      <c r="B27" s="28" t="n">
        <f aca="false">B13*$E$20+C13*$E$21+D13*$E$22</f>
        <v>0.272727272727273</v>
      </c>
      <c r="C27" s="28" t="n">
        <f aca="false">B27/E20</f>
        <v>3</v>
      </c>
    </row>
    <row r="28" customFormat="false" ht="15" hidden="false" customHeight="true" outlineLevel="0" collapsed="false">
      <c r="A28" s="17" t="s">
        <v>113</v>
      </c>
      <c r="B28" s="28" t="n">
        <f aca="false">B14*$E$20+C14*$E$21+D14*$E$22</f>
        <v>0.272727272727273</v>
      </c>
      <c r="C28" s="28" t="n">
        <f aca="false">B28/E21</f>
        <v>3</v>
      </c>
    </row>
    <row r="29" customFormat="false" ht="15" hidden="false" customHeight="true" outlineLevel="0" collapsed="false">
      <c r="A29" s="17" t="s">
        <v>115</v>
      </c>
      <c r="B29" s="28" t="n">
        <f aca="false">B15*$E$20+C15*$E$21+D15*$E$22</f>
        <v>2.45454545454545</v>
      </c>
      <c r="C29" s="28" t="n">
        <f aca="false">B29/E22</f>
        <v>3</v>
      </c>
    </row>
    <row r="30" customFormat="false" ht="15" hidden="false" customHeight="true" outlineLevel="0" collapsed="false">
      <c r="A30" s="17" t="s">
        <v>128</v>
      </c>
      <c r="B30" s="29" t="n">
        <f aca="false">AVERAGE(C27:C29)</f>
        <v>3</v>
      </c>
      <c r="C30" s="30"/>
    </row>
    <row r="31" customFormat="false" ht="15" hidden="false" customHeight="true" outlineLevel="0" collapsed="false">
      <c r="A31" s="17" t="s">
        <v>60</v>
      </c>
      <c r="B31" s="31" t="n">
        <f aca="false">COUNT(B13:B15)</f>
        <v>3</v>
      </c>
      <c r="C31" s="30"/>
    </row>
    <row r="32" customFormat="false" ht="15" hidden="false" customHeight="true" outlineLevel="0" collapsed="false">
      <c r="A32" s="17" t="s">
        <v>129</v>
      </c>
      <c r="B32" s="29" t="n">
        <f aca="false">(B30-B31)/(B31-1)</f>
        <v>0</v>
      </c>
      <c r="C32" s="30"/>
    </row>
    <row r="33" customFormat="false" ht="15" hidden="false" customHeight="true" outlineLevel="0" collapsed="false">
      <c r="A33" s="17" t="s">
        <v>61</v>
      </c>
      <c r="B33" s="21" t="n">
        <f aca="false">VLOOKUP(B31,Parametros!$A$13:$B$22,2,FALSE())</f>
        <v>0.58</v>
      </c>
      <c r="C33" s="30"/>
    </row>
    <row r="34" customFormat="false" ht="15" hidden="false" customHeight="true" outlineLevel="0" collapsed="false">
      <c r="A34" s="17" t="s">
        <v>130</v>
      </c>
      <c r="B34" s="29" t="n">
        <f aca="false">IF(B33=0,0,B32/B33)</f>
        <v>0</v>
      </c>
      <c r="C34" s="30"/>
    </row>
    <row r="35" customFormat="false" ht="15" hidden="false" customHeight="true" outlineLevel="0" collapsed="false">
      <c r="A35" s="17" t="s">
        <v>131</v>
      </c>
      <c r="B35" s="21" t="n">
        <f aca="false">Parametros!$B$43</f>
        <v>0.1</v>
      </c>
      <c r="C35" s="30"/>
    </row>
    <row r="36" customFormat="false" ht="15" hidden="false" customHeight="true" outlineLevel="0" collapsed="false">
      <c r="A36" s="17" t="s">
        <v>132</v>
      </c>
      <c r="B36" s="32" t="str">
        <f aca="false">IF(B34&lt;=B35,"CONSISTENTE","INCONSISTENTE")</f>
        <v>CONSISTENTE</v>
      </c>
      <c r="C36" s="30"/>
    </row>
  </sheetData>
  <dataValidations count="2">
    <dataValidation allowBlank="true" errorStyle="stop" operator="between" showDropDown="false" showErrorMessage="false" showInputMessage="false" sqref="C6:C8" type="list">
      <formula1>"A,B,Igual"</formula1>
      <formula2>0</formula2>
    </dataValidation>
    <dataValidation allowBlank="true" errorStyle="stop" operator="between" showDropDown="false" showErrorMessage="false" showInputMessage="false" sqref="D6:D8" type="list">
      <formula1>"moderada,forte,muito forte,extrema"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4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9" min="6" style="1" width="11"/>
  </cols>
  <sheetData>
    <row r="1" customFormat="false" ht="15.75" hidden="false" customHeight="true" outlineLevel="0" collapsed="false">
      <c r="A1" s="14" t="s">
        <v>133</v>
      </c>
    </row>
    <row r="2" customFormat="false" ht="15" hidden="false" customHeight="true" outlineLevel="0" collapsed="false">
      <c r="A2" s="15" t="s">
        <v>134</v>
      </c>
    </row>
    <row r="4" customFormat="false" ht="21.75" hidden="false" customHeight="true" outlineLevel="0" collapsed="false">
      <c r="A4" s="16" t="s">
        <v>135</v>
      </c>
      <c r="B4" s="16" t="s">
        <v>125</v>
      </c>
      <c r="C4" s="16" t="s">
        <v>136</v>
      </c>
      <c r="D4" s="16" t="s">
        <v>137</v>
      </c>
      <c r="E4" s="16" t="s">
        <v>138</v>
      </c>
      <c r="F4" s="16" t="s">
        <v>139</v>
      </c>
      <c r="G4" s="16" t="s">
        <v>140</v>
      </c>
      <c r="H4" s="16" t="s">
        <v>141</v>
      </c>
      <c r="I4" s="16" t="s">
        <v>142</v>
      </c>
    </row>
    <row r="5" customFormat="false" ht="15" hidden="false" customHeight="true" outlineLevel="0" collapsed="false">
      <c r="A5" s="17" t="s">
        <v>143</v>
      </c>
      <c r="B5" s="31" t="s">
        <v>112</v>
      </c>
      <c r="C5" s="20" t="s">
        <v>67</v>
      </c>
      <c r="D5" s="21" t="n">
        <f aca="false">IF(C5="","",IFERROR(VLOOKUP(C5,Parametros!$A$26:$B$31,2,FALSE()),"?"))</f>
        <v>3</v>
      </c>
      <c r="E5" s="31" t="n">
        <f aca="false">SUMIF($B$5:$B$17,B5,$D$5:$D$17)</f>
        <v>16</v>
      </c>
      <c r="F5" s="28" t="n">
        <f aca="false">IF(AND(ISNUMBER(D5),E5&gt;0),D5/E5,"")</f>
        <v>0.1875</v>
      </c>
      <c r="G5" s="33" t="n">
        <f aca="false">VLOOKUP(B5,AHP_Dimensoes!$A$20:$E$22,5,FALSE())</f>
        <v>0.0909090909090909</v>
      </c>
      <c r="H5" s="28" t="n">
        <f aca="false">IF(F5="","",G5*F5)</f>
        <v>0.0170454545454545</v>
      </c>
      <c r="I5" s="28" t="n">
        <f aca="false">IF(ISNUMBER(F5),F5,0)</f>
        <v>0.1875</v>
      </c>
      <c r="J5" s="30"/>
      <c r="K5" s="30"/>
      <c r="L5" s="30"/>
      <c r="M5" s="30"/>
      <c r="N5" s="30"/>
    </row>
    <row r="6" customFormat="false" ht="15" hidden="false" customHeight="true" outlineLevel="0" collapsed="false">
      <c r="A6" s="17" t="s">
        <v>144</v>
      </c>
      <c r="B6" s="31" t="s">
        <v>112</v>
      </c>
      <c r="C6" s="20" t="s">
        <v>66</v>
      </c>
      <c r="D6" s="21" t="n">
        <f aca="false">IF(C6="","",IFERROR(VLOOKUP(C6,Parametros!$A$26:$B$31,2,FALSE()),"?"))</f>
        <v>4</v>
      </c>
      <c r="E6" s="31" t="n">
        <f aca="false">SUMIF($B$5:$B$17,B6,$D$5:$D$17)</f>
        <v>16</v>
      </c>
      <c r="F6" s="28" t="n">
        <f aca="false">IF(AND(ISNUMBER(D6),E6&gt;0),D6/E6,"")</f>
        <v>0.25</v>
      </c>
      <c r="G6" s="33" t="n">
        <f aca="false">VLOOKUP(B6,AHP_Dimensoes!$A$20:$E$22,5,FALSE())</f>
        <v>0.0909090909090909</v>
      </c>
      <c r="H6" s="28" t="n">
        <f aca="false">IF(F6="","",G6*F6)</f>
        <v>0.0227272727272727</v>
      </c>
      <c r="I6" s="28" t="n">
        <f aca="false">IF(ISNUMBER(F6),F6,0)</f>
        <v>0.25</v>
      </c>
      <c r="J6" s="30"/>
      <c r="K6" s="30"/>
      <c r="L6" s="30"/>
      <c r="M6" s="30"/>
      <c r="N6" s="30"/>
    </row>
    <row r="7" customFormat="false" ht="15" hidden="false" customHeight="true" outlineLevel="0" collapsed="false">
      <c r="A7" s="17" t="s">
        <v>145</v>
      </c>
      <c r="B7" s="31" t="s">
        <v>112</v>
      </c>
      <c r="C7" s="20" t="s">
        <v>67</v>
      </c>
      <c r="D7" s="21" t="n">
        <f aca="false">IF(C7="","",IFERROR(VLOOKUP(C7,Parametros!$A$26:$B$31,2,FALSE()),"?"))</f>
        <v>3</v>
      </c>
      <c r="E7" s="31" t="n">
        <f aca="false">SUMIF($B$5:$B$17,B7,$D$5:$D$17)</f>
        <v>16</v>
      </c>
      <c r="F7" s="28" t="n">
        <f aca="false">IF(AND(ISNUMBER(D7),E7&gt;0),D7/E7,"")</f>
        <v>0.1875</v>
      </c>
      <c r="G7" s="33" t="n">
        <f aca="false">VLOOKUP(B7,AHP_Dimensoes!$A$20:$E$22,5,FALSE())</f>
        <v>0.0909090909090909</v>
      </c>
      <c r="H7" s="28" t="n">
        <f aca="false">IF(F7="","",G7*F7)</f>
        <v>0.0170454545454545</v>
      </c>
      <c r="I7" s="28" t="n">
        <f aca="false">IF(ISNUMBER(F7),F7,0)</f>
        <v>0.1875</v>
      </c>
      <c r="J7" s="30"/>
      <c r="K7" s="30"/>
      <c r="L7" s="30"/>
      <c r="M7" s="30"/>
      <c r="N7" s="30"/>
    </row>
    <row r="8" customFormat="false" ht="15" hidden="false" customHeight="true" outlineLevel="0" collapsed="false">
      <c r="A8" s="17" t="s">
        <v>146</v>
      </c>
      <c r="B8" s="31" t="s">
        <v>112</v>
      </c>
      <c r="C8" s="20" t="s">
        <v>67</v>
      </c>
      <c r="D8" s="21" t="n">
        <f aca="false">IF(C8="","",IFERROR(VLOOKUP(C8,Parametros!$A$26:$B$31,2,FALSE()),"?"))</f>
        <v>3</v>
      </c>
      <c r="E8" s="31" t="n">
        <f aca="false">SUMIF($B$5:$B$17,B8,$D$5:$D$17)</f>
        <v>16</v>
      </c>
      <c r="F8" s="28" t="n">
        <f aca="false">IF(AND(ISNUMBER(D8),E8&gt;0),D8/E8,"")</f>
        <v>0.1875</v>
      </c>
      <c r="G8" s="33" t="n">
        <f aca="false">VLOOKUP(B8,AHP_Dimensoes!$A$20:$E$22,5,FALSE())</f>
        <v>0.0909090909090909</v>
      </c>
      <c r="H8" s="28" t="n">
        <f aca="false">IF(F8="","",G8*F8)</f>
        <v>0.0170454545454545</v>
      </c>
      <c r="I8" s="28" t="n">
        <f aca="false">IF(ISNUMBER(F8),F8,0)</f>
        <v>0.1875</v>
      </c>
      <c r="J8" s="30"/>
      <c r="K8" s="30"/>
      <c r="L8" s="30"/>
      <c r="M8" s="30"/>
      <c r="N8" s="30"/>
    </row>
    <row r="9" customFormat="false" ht="15" hidden="false" customHeight="true" outlineLevel="0" collapsed="false">
      <c r="A9" s="17" t="s">
        <v>147</v>
      </c>
      <c r="B9" s="31" t="s">
        <v>112</v>
      </c>
      <c r="C9" s="20" t="s">
        <v>67</v>
      </c>
      <c r="D9" s="21" t="n">
        <f aca="false">IF(C9="","",IFERROR(VLOOKUP(C9,Parametros!$A$26:$B$31,2,FALSE()),"?"))</f>
        <v>3</v>
      </c>
      <c r="E9" s="31" t="n">
        <f aca="false">SUMIF($B$5:$B$17,B9,$D$5:$D$17)</f>
        <v>16</v>
      </c>
      <c r="F9" s="28" t="n">
        <f aca="false">IF(AND(ISNUMBER(D9),E9&gt;0),D9/E9,"")</f>
        <v>0.1875</v>
      </c>
      <c r="G9" s="33" t="n">
        <f aca="false">VLOOKUP(B9,AHP_Dimensoes!$A$20:$E$22,5,FALSE())</f>
        <v>0.0909090909090909</v>
      </c>
      <c r="H9" s="28" t="n">
        <f aca="false">IF(F9="","",G9*F9)</f>
        <v>0.0170454545454545</v>
      </c>
      <c r="I9" s="28" t="n">
        <f aca="false">IF(ISNUMBER(F9),F9,0)</f>
        <v>0.1875</v>
      </c>
      <c r="J9" s="30"/>
      <c r="K9" s="30"/>
      <c r="L9" s="30"/>
      <c r="M9" s="30"/>
      <c r="N9" s="30"/>
    </row>
    <row r="10" customFormat="false" ht="15" hidden="false" customHeight="true" outlineLevel="0" collapsed="false">
      <c r="A10" s="17" t="s">
        <v>148</v>
      </c>
      <c r="B10" s="31" t="s">
        <v>113</v>
      </c>
      <c r="C10" s="20" t="s">
        <v>66</v>
      </c>
      <c r="D10" s="21" t="n">
        <f aca="false">IF(C10="","",IFERROR(VLOOKUP(C10,Parametros!$A$26:$B$31,2,FALSE()),"?"))</f>
        <v>4</v>
      </c>
      <c r="E10" s="31" t="n">
        <f aca="false">SUMIF($B$5:$B$17,B10,$D$5:$D$17)</f>
        <v>13</v>
      </c>
      <c r="F10" s="28" t="n">
        <f aca="false">IF(AND(ISNUMBER(D10),E10&gt;0),D10/E10,"")</f>
        <v>0.307692307692308</v>
      </c>
      <c r="G10" s="33" t="n">
        <f aca="false">VLOOKUP(B10,AHP_Dimensoes!$A$20:$E$22,5,FALSE())</f>
        <v>0.0909090909090909</v>
      </c>
      <c r="H10" s="28" t="n">
        <f aca="false">IF(F10="","",G10*F10)</f>
        <v>0.027972027972028</v>
      </c>
      <c r="I10" s="28" t="n">
        <f aca="false">IF(ISNUMBER(F10),F10,0)</f>
        <v>0.307692307692308</v>
      </c>
      <c r="J10" s="30"/>
      <c r="K10" s="30"/>
      <c r="L10" s="30"/>
      <c r="M10" s="30"/>
      <c r="N10" s="30"/>
    </row>
    <row r="11" customFormat="false" ht="15" hidden="false" customHeight="true" outlineLevel="0" collapsed="false">
      <c r="A11" s="17" t="s">
        <v>149</v>
      </c>
      <c r="B11" s="31" t="s">
        <v>113</v>
      </c>
      <c r="C11" s="20" t="s">
        <v>67</v>
      </c>
      <c r="D11" s="21" t="n">
        <f aca="false">IF(C11="","",IFERROR(VLOOKUP(C11,Parametros!$A$26:$B$31,2,FALSE()),"?"))</f>
        <v>3</v>
      </c>
      <c r="E11" s="31" t="n">
        <f aca="false">SUMIF($B$5:$B$17,B11,$D$5:$D$17)</f>
        <v>13</v>
      </c>
      <c r="F11" s="28" t="n">
        <f aca="false">IF(AND(ISNUMBER(D11),E11&gt;0),D11/E11,"")</f>
        <v>0.230769230769231</v>
      </c>
      <c r="G11" s="33" t="n">
        <f aca="false">VLOOKUP(B11,AHP_Dimensoes!$A$20:$E$22,5,FALSE())</f>
        <v>0.0909090909090909</v>
      </c>
      <c r="H11" s="28" t="n">
        <f aca="false">IF(F11="","",G11*F11)</f>
        <v>0.020979020979021</v>
      </c>
      <c r="I11" s="28" t="n">
        <f aca="false">IF(ISNUMBER(F11),F11,0)</f>
        <v>0.230769230769231</v>
      </c>
      <c r="J11" s="30"/>
      <c r="K11" s="30"/>
      <c r="L11" s="30"/>
      <c r="M11" s="30"/>
      <c r="N11" s="30"/>
    </row>
    <row r="12" customFormat="false" ht="15" hidden="false" customHeight="true" outlineLevel="0" collapsed="false">
      <c r="A12" s="17" t="s">
        <v>150</v>
      </c>
      <c r="B12" s="31" t="s">
        <v>113</v>
      </c>
      <c r="C12" s="20" t="s">
        <v>67</v>
      </c>
      <c r="D12" s="21" t="n">
        <f aca="false">IF(C12="","",IFERROR(VLOOKUP(C12,Parametros!$A$26:$B$31,2,FALSE()),"?"))</f>
        <v>3</v>
      </c>
      <c r="E12" s="31" t="n">
        <f aca="false">SUMIF($B$5:$B$17,B12,$D$5:$D$17)</f>
        <v>13</v>
      </c>
      <c r="F12" s="28" t="n">
        <f aca="false">IF(AND(ISNUMBER(D12),E12&gt;0),D12/E12,"")</f>
        <v>0.230769230769231</v>
      </c>
      <c r="G12" s="33" t="n">
        <f aca="false">VLOOKUP(B12,AHP_Dimensoes!$A$20:$E$22,5,FALSE())</f>
        <v>0.0909090909090909</v>
      </c>
      <c r="H12" s="28" t="n">
        <f aca="false">IF(F12="","",G12*F12)</f>
        <v>0.020979020979021</v>
      </c>
      <c r="I12" s="28" t="n">
        <f aca="false">IF(ISNUMBER(F12),F12,0)</f>
        <v>0.230769230769231</v>
      </c>
      <c r="J12" s="30"/>
      <c r="K12" s="30"/>
      <c r="L12" s="30"/>
      <c r="M12" s="30"/>
      <c r="N12" s="30"/>
    </row>
    <row r="13" customFormat="false" ht="15" hidden="false" customHeight="true" outlineLevel="0" collapsed="false">
      <c r="A13" s="17" t="s">
        <v>151</v>
      </c>
      <c r="B13" s="31" t="s">
        <v>113</v>
      </c>
      <c r="C13" s="20" t="s">
        <v>67</v>
      </c>
      <c r="D13" s="21" t="n">
        <f aca="false">IF(C13="","",IFERROR(VLOOKUP(C13,Parametros!$A$26:$B$31,2,FALSE()),"?"))</f>
        <v>3</v>
      </c>
      <c r="E13" s="31" t="n">
        <f aca="false">SUMIF($B$5:$B$17,B13,$D$5:$D$17)</f>
        <v>13</v>
      </c>
      <c r="F13" s="28" t="n">
        <f aca="false">IF(AND(ISNUMBER(D13),E13&gt;0),D13/E13,"")</f>
        <v>0.230769230769231</v>
      </c>
      <c r="G13" s="33" t="n">
        <f aca="false">VLOOKUP(B13,AHP_Dimensoes!$A$20:$E$22,5,FALSE())</f>
        <v>0.0909090909090909</v>
      </c>
      <c r="H13" s="28" t="n">
        <f aca="false">IF(F13="","",G13*F13)</f>
        <v>0.020979020979021</v>
      </c>
      <c r="I13" s="28" t="n">
        <f aca="false">IF(ISNUMBER(F13),F13,0)</f>
        <v>0.230769230769231</v>
      </c>
      <c r="J13" s="30"/>
      <c r="K13" s="30"/>
      <c r="L13" s="30"/>
      <c r="M13" s="30"/>
      <c r="N13" s="30"/>
    </row>
    <row r="14" customFormat="false" ht="15" hidden="false" customHeight="true" outlineLevel="0" collapsed="false">
      <c r="A14" s="17" t="s">
        <v>152</v>
      </c>
      <c r="B14" s="31" t="s">
        <v>115</v>
      </c>
      <c r="C14" s="20" t="s">
        <v>65</v>
      </c>
      <c r="D14" s="21" t="n">
        <f aca="false">IF(C14="","",IFERROR(VLOOKUP(C14,Parametros!$A$26:$B$31,2,FALSE()),"?"))</f>
        <v>5</v>
      </c>
      <c r="E14" s="31" t="n">
        <f aca="false">SUMIF($B$5:$B$17,B14,$D$5:$D$17)</f>
        <v>20</v>
      </c>
      <c r="F14" s="28" t="n">
        <f aca="false">IF(AND(ISNUMBER(D14),E14&gt;0),D14/E14,"")</f>
        <v>0.25</v>
      </c>
      <c r="G14" s="33" t="n">
        <f aca="false">VLOOKUP(B14,AHP_Dimensoes!$A$20:$E$22,5,FALSE())</f>
        <v>0.818181818181818</v>
      </c>
      <c r="H14" s="28" t="n">
        <f aca="false">IF(F14="","",G14*F14)</f>
        <v>0.204545454545455</v>
      </c>
      <c r="I14" s="28" t="n">
        <f aca="false">IF(ISNUMBER(F14),F14,0)</f>
        <v>0.25</v>
      </c>
      <c r="J14" s="30"/>
      <c r="K14" s="30"/>
      <c r="L14" s="30"/>
      <c r="M14" s="30"/>
      <c r="N14" s="30"/>
    </row>
    <row r="15" customFormat="false" ht="15" hidden="false" customHeight="true" outlineLevel="0" collapsed="false">
      <c r="A15" s="17" t="s">
        <v>153</v>
      </c>
      <c r="B15" s="31" t="s">
        <v>115</v>
      </c>
      <c r="C15" s="20" t="s">
        <v>65</v>
      </c>
      <c r="D15" s="21" t="n">
        <f aca="false">IF(C15="","",IFERROR(VLOOKUP(C15,Parametros!$A$26:$B$31,2,FALSE()),"?"))</f>
        <v>5</v>
      </c>
      <c r="E15" s="31" t="n">
        <f aca="false">SUMIF($B$5:$B$17,B15,$D$5:$D$17)</f>
        <v>20</v>
      </c>
      <c r="F15" s="28" t="n">
        <f aca="false">IF(AND(ISNUMBER(D15),E15&gt;0),D15/E15,"")</f>
        <v>0.25</v>
      </c>
      <c r="G15" s="33" t="n">
        <f aca="false">VLOOKUP(B15,AHP_Dimensoes!$A$20:$E$22,5,FALSE())</f>
        <v>0.818181818181818</v>
      </c>
      <c r="H15" s="28" t="n">
        <f aca="false">IF(F15="","",G15*F15)</f>
        <v>0.204545454545455</v>
      </c>
      <c r="I15" s="28" t="n">
        <f aca="false">IF(ISNUMBER(F15),F15,0)</f>
        <v>0.25</v>
      </c>
      <c r="J15" s="30"/>
      <c r="K15" s="30"/>
      <c r="L15" s="30"/>
      <c r="M15" s="30"/>
      <c r="N15" s="30"/>
    </row>
    <row r="16" customFormat="false" ht="15" hidden="false" customHeight="true" outlineLevel="0" collapsed="false">
      <c r="A16" s="17" t="s">
        <v>154</v>
      </c>
      <c r="B16" s="31" t="s">
        <v>115</v>
      </c>
      <c r="C16" s="20" t="s">
        <v>65</v>
      </c>
      <c r="D16" s="21" t="n">
        <f aca="false">IF(C16="","",IFERROR(VLOOKUP(C16,Parametros!$A$26:$B$31,2,FALSE()),"?"))</f>
        <v>5</v>
      </c>
      <c r="E16" s="31" t="n">
        <f aca="false">SUMIF($B$5:$B$17,B16,$D$5:$D$17)</f>
        <v>20</v>
      </c>
      <c r="F16" s="28" t="n">
        <f aca="false">IF(AND(ISNUMBER(D16),E16&gt;0),D16/E16,"")</f>
        <v>0.25</v>
      </c>
      <c r="G16" s="33" t="n">
        <f aca="false">VLOOKUP(B16,AHP_Dimensoes!$A$20:$E$22,5,FALSE())</f>
        <v>0.818181818181818</v>
      </c>
      <c r="H16" s="28" t="n">
        <f aca="false">IF(F16="","",G16*F16)</f>
        <v>0.204545454545455</v>
      </c>
      <c r="I16" s="28" t="n">
        <f aca="false">IF(ISNUMBER(F16),F16,0)</f>
        <v>0.25</v>
      </c>
      <c r="J16" s="30"/>
      <c r="K16" s="30"/>
      <c r="L16" s="30"/>
      <c r="M16" s="30"/>
      <c r="N16" s="30"/>
    </row>
    <row r="17" customFormat="false" ht="15" hidden="false" customHeight="true" outlineLevel="0" collapsed="false">
      <c r="A17" s="17" t="s">
        <v>155</v>
      </c>
      <c r="B17" s="31" t="s">
        <v>115</v>
      </c>
      <c r="C17" s="20" t="s">
        <v>65</v>
      </c>
      <c r="D17" s="21" t="n">
        <f aca="false">IF(C17="","",IFERROR(VLOOKUP(C17,Parametros!$A$26:$B$31,2,FALSE()),"?"))</f>
        <v>5</v>
      </c>
      <c r="E17" s="31" t="n">
        <f aca="false">SUMIF($B$5:$B$17,B17,$D$5:$D$17)</f>
        <v>20</v>
      </c>
      <c r="F17" s="28" t="n">
        <f aca="false">IF(AND(ISNUMBER(D17),E17&gt;0),D17/E17,"")</f>
        <v>0.25</v>
      </c>
      <c r="G17" s="33" t="n">
        <f aca="false">VLOOKUP(B17,AHP_Dimensoes!$A$20:$E$22,5,FALSE())</f>
        <v>0.818181818181818</v>
      </c>
      <c r="H17" s="28" t="n">
        <f aca="false">IF(F17="","",G17*F17)</f>
        <v>0.204545454545455</v>
      </c>
      <c r="I17" s="28" t="n">
        <f aca="false">IF(ISNUMBER(F17),F17,0)</f>
        <v>0.25</v>
      </c>
      <c r="J17" s="30"/>
      <c r="K17" s="30"/>
      <c r="L17" s="30"/>
      <c r="M17" s="30"/>
      <c r="N17" s="30"/>
    </row>
    <row r="18" customFormat="false" ht="15" hidden="false" customHeight="true" outlineLevel="0" collapsed="false"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</row>
    <row r="19" customFormat="false" ht="15" hidden="false" customHeight="true" outlineLevel="0" collapsed="false">
      <c r="A19" s="3" t="s">
        <v>156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</row>
    <row r="20" customFormat="false" ht="15" hidden="false" customHeight="true" outlineLevel="0" collapsed="false">
      <c r="A20" s="16" t="s">
        <v>125</v>
      </c>
      <c r="B20" s="16" t="s">
        <v>157</v>
      </c>
      <c r="C20" s="16" t="s">
        <v>158</v>
      </c>
      <c r="D20" s="16" t="s">
        <v>121</v>
      </c>
      <c r="E20" s="16" t="s">
        <v>159</v>
      </c>
      <c r="F20" s="30"/>
      <c r="G20" s="30"/>
      <c r="H20" s="30"/>
      <c r="I20" s="30"/>
      <c r="J20" s="30"/>
      <c r="K20" s="30"/>
      <c r="L20" s="30"/>
      <c r="M20" s="30"/>
      <c r="N20" s="30"/>
    </row>
    <row r="21" customFormat="false" ht="15" hidden="false" customHeight="true" outlineLevel="0" collapsed="false">
      <c r="A21" s="17" t="s">
        <v>112</v>
      </c>
      <c r="B21" s="28" t="n">
        <f aca="false">SUMIF($B$5:$B$17,A21,$F$5:$F$17)</f>
        <v>1</v>
      </c>
      <c r="C21" s="28" t="n">
        <f aca="false">SUMIF($B$5:$B$17,A21,$H$5:$H$17)</f>
        <v>0.0909090909090909</v>
      </c>
      <c r="D21" s="33" t="n">
        <f aca="false">VLOOKUP(A21,AHP_Dimensoes!$A$20:$E$22,5,FALSE())</f>
        <v>0.0909090909090909</v>
      </c>
      <c r="E21" s="32" t="str">
        <f aca="false">IF(SUMIF($B$5:$B$17,A21,$D$5:$D$17)=0,"REVISAR — nenhum coeficiente válido",IF(AND(ABS(B21-1)&lt;0.000001,ABS(C21-D21)&lt;0.000001),"OK","DIVERGE"))</f>
        <v>OK</v>
      </c>
      <c r="F21" s="30"/>
      <c r="G21" s="30"/>
      <c r="H21" s="30"/>
      <c r="I21" s="30"/>
      <c r="J21" s="30"/>
      <c r="K21" s="30"/>
      <c r="L21" s="30"/>
      <c r="M21" s="30"/>
      <c r="N21" s="30"/>
    </row>
    <row r="22" customFormat="false" ht="15" hidden="false" customHeight="true" outlineLevel="0" collapsed="false">
      <c r="A22" s="17" t="s">
        <v>113</v>
      </c>
      <c r="B22" s="28" t="n">
        <f aca="false">SUMIF($B$5:$B$17,A22,$F$5:$F$17)</f>
        <v>1</v>
      </c>
      <c r="C22" s="28" t="n">
        <f aca="false">SUMIF($B$5:$B$17,A22,$H$5:$H$17)</f>
        <v>0.0909090909090909</v>
      </c>
      <c r="D22" s="33" t="n">
        <f aca="false">VLOOKUP(A22,AHP_Dimensoes!$A$20:$E$22,5,FALSE())</f>
        <v>0.0909090909090909</v>
      </c>
      <c r="E22" s="32" t="str">
        <f aca="false">IF(SUMIF($B$5:$B$17,A22,$D$5:$D$17)=0,"REVISAR — nenhum coeficiente válido",IF(AND(ABS(B22-1)&lt;0.000001,ABS(C22-D22)&lt;0.000001),"OK","DIVERGE"))</f>
        <v>OK</v>
      </c>
      <c r="F22" s="30"/>
      <c r="G22" s="30"/>
      <c r="H22" s="30"/>
      <c r="I22" s="30"/>
      <c r="J22" s="30"/>
      <c r="K22" s="30"/>
      <c r="L22" s="30"/>
      <c r="M22" s="30"/>
      <c r="N22" s="30"/>
    </row>
    <row r="23" customFormat="false" ht="15" hidden="false" customHeight="true" outlineLevel="0" collapsed="false">
      <c r="A23" s="17" t="s">
        <v>115</v>
      </c>
      <c r="B23" s="28" t="n">
        <f aca="false">SUMIF($B$5:$B$17,A23,$F$5:$F$17)</f>
        <v>1</v>
      </c>
      <c r="C23" s="28" t="n">
        <f aca="false">SUMIF($B$5:$B$17,A23,$H$5:$H$17)</f>
        <v>0.818181818181818</v>
      </c>
      <c r="D23" s="33" t="n">
        <f aca="false">VLOOKUP(A23,AHP_Dimensoes!$A$20:$E$22,5,FALSE())</f>
        <v>0.818181818181818</v>
      </c>
      <c r="E23" s="32" t="str">
        <f aca="false">IF(SUMIF($B$5:$B$17,A23,$D$5:$D$17)=0,"REVISAR — nenhum coeficiente válido",IF(AND(ABS(B23-1)&lt;0.000001,ABS(C23-D23)&lt;0.000001),"OK","DIVERGE"))</f>
        <v>OK</v>
      </c>
      <c r="F23" s="30"/>
      <c r="G23" s="30"/>
      <c r="H23" s="30"/>
      <c r="I23" s="30"/>
      <c r="J23" s="30"/>
      <c r="K23" s="30"/>
      <c r="L23" s="30"/>
      <c r="M23" s="30"/>
      <c r="N23" s="30"/>
    </row>
    <row r="24" customFormat="false" ht="15" hidden="false" customHeight="true" outlineLevel="0" collapsed="false">
      <c r="A24" s="17" t="s">
        <v>160</v>
      </c>
      <c r="B24" s="30"/>
      <c r="C24" s="28" t="n">
        <f aca="false">SUM($H$5:$H$17)</f>
        <v>1</v>
      </c>
      <c r="D24" s="30"/>
      <c r="E24" s="32" t="str">
        <f aca="false">IF(ABS(C24-1)&lt;0.000001,"OK","DIVERGE")</f>
        <v>OK</v>
      </c>
      <c r="F24" s="30"/>
      <c r="G24" s="30"/>
      <c r="H24" s="30"/>
      <c r="I24" s="30"/>
      <c r="J24" s="30"/>
      <c r="K24" s="30"/>
      <c r="L24" s="30"/>
      <c r="M24" s="30"/>
      <c r="N24" s="30"/>
    </row>
    <row r="25" customFormat="false" ht="15" hidden="false" customHeight="true" outlineLevel="0" collapsed="false"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</row>
    <row r="26" customFormat="false" ht="15" hidden="false" customHeight="true" outlineLevel="0" collapsed="false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</row>
    <row r="27" customFormat="false" ht="15" hidden="false" customHeight="true" outlineLevel="0" collapsed="false"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</row>
    <row r="28" customFormat="false" ht="15" hidden="false" customHeight="true" outlineLevel="0" collapsed="false"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</row>
    <row r="29" customFormat="false" ht="15" hidden="false" customHeight="true" outlineLevel="0" collapsed="false"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</sheetData>
  <dataValidations count="1">
    <dataValidation allowBlank="true" errorStyle="stop" operator="between" showDropDown="false" showErrorMessage="false" showInputMessage="false" sqref="C5:C17" type="list">
      <formula1>Parametros!$A$26:$A$31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AM33"/>
  <sheetViews>
    <sheetView showFormulas="false" showGridLines="false" showRowColHeaders="true" showZeros="true" rightToLeft="false" tabSelected="false" showOutlineSymbols="true" defaultGridColor="true" view="normal" topLeftCell="Y1" colorId="64" zoomScale="100" zoomScaleNormal="100" zoomScalePageLayoutView="100" workbookViewId="0">
      <selection pane="topLeft" activeCell="B26" activeCellId="0" sqref="B2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2"/>
    <col collapsed="false" customWidth="true" hidden="false" outlineLevel="0" max="4" min="3" style="1" width="12"/>
    <col collapsed="false" customWidth="true" hidden="false" outlineLevel="0" max="5" min="5" style="1" width="10"/>
    <col collapsed="false" customWidth="true" hidden="false" outlineLevel="0" max="7" min="6" style="1" width="11"/>
    <col collapsed="false" customWidth="true" hidden="false" outlineLevel="0" max="8" min="8" style="1" width="7"/>
    <col collapsed="false" customWidth="true" hidden="false" outlineLevel="0" max="10" min="9" style="1" width="11"/>
    <col collapsed="false" customWidth="true" hidden="false" outlineLevel="0" max="11" min="11" style="1" width="7"/>
    <col collapsed="false" customWidth="true" hidden="false" outlineLevel="0" max="13" min="12" style="1" width="11"/>
    <col collapsed="false" customWidth="true" hidden="false" outlineLevel="0" max="14" min="14" style="1" width="7"/>
    <col collapsed="false" customWidth="true" hidden="false" outlineLevel="0" max="17" min="15" style="1" width="8"/>
    <col collapsed="false" customWidth="true" hidden="false" outlineLevel="0" max="18" min="18" style="1" width="9"/>
    <col collapsed="false" customWidth="true" hidden="false" outlineLevel="0" max="21" min="19" style="1" width="11"/>
    <col collapsed="false" customWidth="true" hidden="false" outlineLevel="0" max="24" min="22" style="1" width="9"/>
    <col collapsed="false" customWidth="true" hidden="false" outlineLevel="0" max="25" min="25" style="1" width="6"/>
    <col collapsed="false" customWidth="true" hidden="false" outlineLevel="0" max="27" min="26" style="1" width="8"/>
    <col collapsed="false" customWidth="true" hidden="false" outlineLevel="0" max="28" min="28" style="1" width="24"/>
    <col collapsed="false" customWidth="true" hidden="false" outlineLevel="0" max="32" min="29" style="1" width="9"/>
    <col collapsed="false" customWidth="true" hidden="false" outlineLevel="0" max="33" min="33" style="1" width="24"/>
    <col collapsed="false" customWidth="true" hidden="false" outlineLevel="0" max="34" min="34" style="1" width="9"/>
    <col collapsed="false" customWidth="true" hidden="false" outlineLevel="0" max="35" min="35" style="1" width="9.8"/>
    <col collapsed="false" customWidth="true" hidden="false" outlineLevel="0" max="36" min="36" style="1" width="12.13"/>
    <col collapsed="false" customWidth="true" hidden="false" outlineLevel="0" max="37" min="37" style="1" width="13.11"/>
    <col collapsed="false" customWidth="true" hidden="false" outlineLevel="0" max="38" min="38" style="1" width="7"/>
    <col collapsed="false" customWidth="true" hidden="false" outlineLevel="0" max="39" min="39" style="1" width="22"/>
  </cols>
  <sheetData>
    <row r="1" customFormat="false" ht="15.75" hidden="false" customHeight="true" outlineLevel="0" collapsed="false">
      <c r="A1" s="14" t="s">
        <v>161</v>
      </c>
    </row>
    <row r="2" customFormat="false" ht="15" hidden="false" customHeight="true" outlineLevel="0" collapsed="false">
      <c r="A2" s="15" t="s">
        <v>162</v>
      </c>
    </row>
    <row r="3" customFormat="false" ht="15" hidden="false" customHeight="true" outlineLevel="0" collapsed="false">
      <c r="F3" s="34" t="s">
        <v>163</v>
      </c>
      <c r="G3" s="34"/>
      <c r="H3" s="34"/>
      <c r="I3" s="34" t="s">
        <v>164</v>
      </c>
      <c r="J3" s="34"/>
      <c r="K3" s="34"/>
      <c r="L3" s="34" t="s">
        <v>165</v>
      </c>
      <c r="M3" s="34"/>
      <c r="N3" s="34"/>
    </row>
    <row r="4" customFormat="false" ht="32.25" hidden="false" customHeight="true" outlineLevel="0" collapsed="false">
      <c r="A4" s="16" t="s">
        <v>135</v>
      </c>
      <c r="B4" s="16" t="s">
        <v>125</v>
      </c>
      <c r="C4" s="16" t="s">
        <v>166</v>
      </c>
      <c r="D4" s="16" t="s">
        <v>167</v>
      </c>
      <c r="E4" s="16" t="s">
        <v>141</v>
      </c>
      <c r="F4" s="16" t="s">
        <v>168</v>
      </c>
      <c r="G4" s="16" t="s">
        <v>169</v>
      </c>
      <c r="H4" s="16" t="s">
        <v>170</v>
      </c>
      <c r="I4" s="16" t="s">
        <v>168</v>
      </c>
      <c r="J4" s="16" t="s">
        <v>169</v>
      </c>
      <c r="K4" s="16" t="s">
        <v>170</v>
      </c>
      <c r="L4" s="16" t="s">
        <v>168</v>
      </c>
      <c r="M4" s="16" t="s">
        <v>169</v>
      </c>
      <c r="N4" s="16" t="s">
        <v>170</v>
      </c>
      <c r="O4" s="16" t="s">
        <v>171</v>
      </c>
      <c r="P4" s="16" t="s">
        <v>172</v>
      </c>
      <c r="Q4" s="16" t="s">
        <v>173</v>
      </c>
      <c r="R4" s="16" t="s">
        <v>174</v>
      </c>
      <c r="S4" s="16" t="s">
        <v>175</v>
      </c>
      <c r="T4" s="16" t="s">
        <v>176</v>
      </c>
      <c r="U4" s="16" t="s">
        <v>177</v>
      </c>
      <c r="V4" s="16" t="s">
        <v>178</v>
      </c>
      <c r="W4" s="16" t="s">
        <v>179</v>
      </c>
      <c r="X4" s="16" t="s">
        <v>180</v>
      </c>
      <c r="Y4" s="16" t="s">
        <v>181</v>
      </c>
      <c r="Z4" s="16" t="s">
        <v>182</v>
      </c>
      <c r="AA4" s="16" t="s">
        <v>183</v>
      </c>
      <c r="AB4" s="16" t="s">
        <v>184</v>
      </c>
      <c r="AC4" s="16" t="s">
        <v>185</v>
      </c>
      <c r="AD4" s="16" t="s">
        <v>186</v>
      </c>
      <c r="AE4" s="16" t="s">
        <v>187</v>
      </c>
      <c r="AF4" s="16" t="s">
        <v>188</v>
      </c>
      <c r="AG4" s="16" t="s">
        <v>189</v>
      </c>
      <c r="AH4" s="16" t="s">
        <v>190</v>
      </c>
      <c r="AI4" s="16" t="s">
        <v>191</v>
      </c>
      <c r="AJ4" s="16" t="s">
        <v>192</v>
      </c>
      <c r="AK4" s="16" t="s">
        <v>193</v>
      </c>
      <c r="AL4" s="16" t="s">
        <v>194</v>
      </c>
      <c r="AM4" s="16" t="s">
        <v>195</v>
      </c>
    </row>
    <row r="5" customFormat="false" ht="15" hidden="false" customHeight="true" outlineLevel="0" collapsed="false">
      <c r="A5" s="17" t="s">
        <v>143</v>
      </c>
      <c r="B5" s="31" t="s">
        <v>112</v>
      </c>
      <c r="C5" s="31" t="s">
        <v>196</v>
      </c>
      <c r="D5" s="31" t="s">
        <v>197</v>
      </c>
      <c r="E5" s="35" t="n">
        <f aca="false">Pesos_Indicadores!H5</f>
        <v>0.0170454545454545</v>
      </c>
      <c r="F5" s="20" t="s">
        <v>198</v>
      </c>
      <c r="G5" s="20" t="n">
        <v>1.14</v>
      </c>
      <c r="H5" s="20" t="n">
        <v>2026</v>
      </c>
      <c r="I5" s="20" t="s">
        <v>198</v>
      </c>
      <c r="J5" s="20" t="n">
        <v>1.09</v>
      </c>
      <c r="K5" s="20" t="n">
        <v>2026</v>
      </c>
      <c r="L5" s="20" t="s">
        <v>198</v>
      </c>
      <c r="M5" s="20" t="n">
        <v>1.17</v>
      </c>
      <c r="N5" s="20" t="n">
        <v>2026</v>
      </c>
      <c r="O5" s="31" t="n">
        <f aca="false">IF(AND(F5="FOUND",ISNUMBER(H5)),H5,"")</f>
        <v>2026</v>
      </c>
      <c r="P5" s="31" t="n">
        <f aca="false">IF(AND(I5="FOUND",ISNUMBER(K5)),K5,"")</f>
        <v>2026</v>
      </c>
      <c r="Q5" s="31" t="n">
        <f aca="false">IF(AND(L5="FOUND",ISNUMBER(N5)),N5,"")</f>
        <v>2026</v>
      </c>
      <c r="R5" s="31" t="str">
        <f aca="false">IF(OR(Parametros!$B$46="",COUNT(O5:Q5)&lt;2),"não",IF(MAX(O5:Q5)-MIN(O5:Q5)&gt;Parametros!$B$46,"sim","não"))</f>
        <v>não</v>
      </c>
      <c r="S5" s="31" t="str">
        <f aca="false">IF(AND($R5="sim",OR(F5="FOUND",F5="PARTIAL")),"INVALID",IF(F5&lt;&gt;"FOUND",F5,IF($C5="qualitativo",IF(G5="","NOT_FOUND",IF(ISNA(MATCH(G5,Parametros!$A$35:$A$39,0)),"INVALID",IF(ISNUMBER(VLOOKUP(G5,Parametros!$A$35:$B$39,2,FALSE())),"FOUND","NOT_FOUND"))),IF(ISNUMBER(G5),"FOUND","NOT_FOUND"))))</f>
        <v>FOUND</v>
      </c>
      <c r="T5" s="31" t="str">
        <f aca="false">IF(AND($R5="sim",OR(I5="FOUND",I5="PARTIAL")),"INVALID",IF(I5&lt;&gt;"FOUND",I5,IF($C5="qualitativo",IF(J5="","NOT_FOUND",IF(ISNA(MATCH(J5,Parametros!$A$35:$A$39,0)),"INVALID",IF(ISNUMBER(VLOOKUP(J5,Parametros!$A$35:$B$39,2,FALSE())),"FOUND","NOT_FOUND"))),IF(ISNUMBER(J5),"FOUND","NOT_FOUND"))))</f>
        <v>FOUND</v>
      </c>
      <c r="U5" s="31" t="str">
        <f aca="false">IF(AND($R5="sim",OR(L5="FOUND",L5="PARTIAL")),"INVALID",IF(L5&lt;&gt;"FOUND",L5,IF($C5="qualitativo",IF(M5="","NOT_FOUND",IF(ISNA(MATCH(M5,Parametros!$A$35:$A$39,0)),"INVALID",IF(ISNUMBER(VLOOKUP(M5,Parametros!$A$35:$B$39,2,FALSE())),"FOUND","NOT_FOUND"))),IF(ISNUMBER(M5),"FOUND","NOT_FOUND"))))</f>
        <v>FOUND</v>
      </c>
      <c r="V5" s="31" t="n">
        <f aca="false">IF(S5&lt;&gt;"FOUND","",IF($C5="qualitativo",VLOOKUP(G5,Parametros!$A$35:$B$39,2,FALSE()),G5))</f>
        <v>1.14</v>
      </c>
      <c r="W5" s="31" t="n">
        <f aca="false">IF(T5&lt;&gt;"FOUND","",IF($C5="qualitativo",VLOOKUP(J5,Parametros!$A$35:$B$39,2,FALSE()),J5))</f>
        <v>1.09</v>
      </c>
      <c r="X5" s="31" t="n">
        <f aca="false">IF(U5&lt;&gt;"FOUND","",IF($C5="qualitativo",VLOOKUP(M5,Parametros!$A$35:$B$39,2,FALSE()),M5))</f>
        <v>1.17</v>
      </c>
      <c r="Y5" s="31" t="n">
        <f aca="false">COUNT(V5:X5)</f>
        <v>3</v>
      </c>
      <c r="Z5" s="31" t="n">
        <f aca="false">IF(Y5=0,"",MIN(V5:X5))</f>
        <v>1.09</v>
      </c>
      <c r="AA5" s="31" t="n">
        <f aca="false">IF(Y5=0,"",MAX(V5:X5))</f>
        <v>1.17</v>
      </c>
      <c r="AB5" s="31" t="str">
        <f aca="false">IF(NOT(ISNUMBER(E5)),"no_weight",IF(Y5=0,IF(AND(S5="INVALID",T5="INVALID",U5="INVALID"),"invalid_for_comparison","no_evidence"),IF(AND(Y5&lt;3,Parametros!$B$50&lt;&gt;"SIM"),"missing_for_some_providers",IF(C5="qualitativo",IF(OR(Z5&lt;0,AA5&gt;1),"invalid_for_comparison",""),IF(D5="benefício",IF(AA5=0,"non_discriminative",IF(AA5&lt;0,"invalid_for_comparison","")),IF(Z5&lt;=0,"invalid_for_comparison",""))))))</f>
        <v/>
      </c>
      <c r="AC5" s="36" t="n">
        <f aca="false">IF(AB5&lt;&gt;"","",IF(V5="",0,IF(C5="qualitativo",V5,IF(D5="minimização",Z5/V5,V5/AA5))))</f>
        <v>0.956140350877193</v>
      </c>
      <c r="AD5" s="36" t="n">
        <f aca="false">IF(AB5&lt;&gt;"","",IF(W5="",0,IF(C5="qualitativo",W5,IF(D5="minimização",Z5/W5,W5/AA5))))</f>
        <v>1</v>
      </c>
      <c r="AE5" s="36" t="n">
        <f aca="false">IF(AB5&lt;&gt;"","",IF(X5="",0,IF(C5="qualitativo",X5,IF(D5="minimização",Z5/X5,X5/AA5))))</f>
        <v>0.931623931623932</v>
      </c>
      <c r="AF5" s="31" t="str">
        <f aca="false">IF(AB5&lt;&gt;"","",IF(MAX(AC5:AE5)-MIN(AC5:AE5)&lt;=Parametros!$B$47,"sim","não"))</f>
        <v>não</v>
      </c>
      <c r="AG5" s="31" t="str">
        <f aca="false">IF(AB5&lt;&gt;"",AB5,IF(AND(AF5="sim",$B$23="sim"),"non_discriminative",""))</f>
        <v/>
      </c>
      <c r="AH5" s="32" t="str">
        <f aca="false">IF(AG5="","sim","não")</f>
        <v>sim</v>
      </c>
      <c r="AI5" s="26" t="n">
        <f aca="false">IF(ISNUMBER(AC5),AC5,0)</f>
        <v>0.956140350877193</v>
      </c>
      <c r="AJ5" s="26" t="n">
        <f aca="false">IF(ISNUMBER(AD5),AD5,0)</f>
        <v>1</v>
      </c>
      <c r="AK5" s="26" t="n">
        <f aca="false">IF(ISNUMBER(AE5),AE5,0)</f>
        <v>0.931623931623932</v>
      </c>
      <c r="AL5" s="31" t="n">
        <f aca="false">IF(AH5="sim",1,0)</f>
        <v>1</v>
      </c>
      <c r="AM5" s="31" t="str">
        <f aca="false">IF(AND(AH5="sim",Y5&lt;3),TRIM(IF(V5="","AWS ","")&amp;IF(W5="","Google ","")&amp;IF(X5="","Azure","")),"")</f>
        <v/>
      </c>
    </row>
    <row r="6" customFormat="false" ht="15" hidden="false" customHeight="true" outlineLevel="0" collapsed="false">
      <c r="A6" s="17" t="s">
        <v>144</v>
      </c>
      <c r="B6" s="31" t="s">
        <v>112</v>
      </c>
      <c r="C6" s="31" t="s">
        <v>196</v>
      </c>
      <c r="D6" s="31" t="s">
        <v>199</v>
      </c>
      <c r="E6" s="35" t="n">
        <f aca="false">Pesos_Indicadores!H6</f>
        <v>0.0227272727272727</v>
      </c>
      <c r="F6" s="20" t="s">
        <v>200</v>
      </c>
      <c r="G6" s="20"/>
      <c r="H6" s="20"/>
      <c r="I6" s="20" t="s">
        <v>198</v>
      </c>
      <c r="J6" s="20" t="n">
        <v>96</v>
      </c>
      <c r="K6" s="20" t="n">
        <v>2026</v>
      </c>
      <c r="L6" s="20" t="s">
        <v>198</v>
      </c>
      <c r="M6" s="20" t="n">
        <v>100</v>
      </c>
      <c r="N6" s="20" t="n">
        <v>2026</v>
      </c>
      <c r="O6" s="31" t="str">
        <f aca="false">IF(AND(F6="FOUND",ISNUMBER(H6)),H6,"")</f>
        <v/>
      </c>
      <c r="P6" s="31" t="n">
        <f aca="false">IF(AND(I6="FOUND",ISNUMBER(K6)),K6,"")</f>
        <v>2026</v>
      </c>
      <c r="Q6" s="31" t="n">
        <f aca="false">IF(AND(L6="FOUND",ISNUMBER(N6)),N6,"")</f>
        <v>2026</v>
      </c>
      <c r="R6" s="31" t="str">
        <f aca="false">IF(OR(Parametros!$B$46="",COUNT(O6:Q6)&lt;2),"não",IF(MAX(O6:Q6)-MIN(O6:Q6)&gt;Parametros!$B$46,"sim","não"))</f>
        <v>não</v>
      </c>
      <c r="S6" s="31" t="str">
        <f aca="false">IF(AND($R6="sim",OR(F6="FOUND",F6="PARTIAL")),"INVALID",IF(F6&lt;&gt;"FOUND",F6,IF($C6="qualitativo",IF(G6="","NOT_FOUND",IF(ISNA(MATCH(G6,Parametros!$A$35:$A$39,0)),"INVALID",IF(ISNUMBER(VLOOKUP(G6,Parametros!$A$35:$B$39,2,FALSE())),"FOUND","NOT_FOUND"))),IF(ISNUMBER(G6),"FOUND","NOT_FOUND"))))</f>
        <v>INVALID</v>
      </c>
      <c r="T6" s="31" t="str">
        <f aca="false">IF(AND($R6="sim",OR(I6="FOUND",I6="PARTIAL")),"INVALID",IF(I6&lt;&gt;"FOUND",I6,IF($C6="qualitativo",IF(J6="","NOT_FOUND",IF(ISNA(MATCH(J6,Parametros!$A$35:$A$39,0)),"INVALID",IF(ISNUMBER(VLOOKUP(J6,Parametros!$A$35:$B$39,2,FALSE())),"FOUND","NOT_FOUND"))),IF(ISNUMBER(J6),"FOUND","NOT_FOUND"))))</f>
        <v>FOUND</v>
      </c>
      <c r="U6" s="31" t="str">
        <f aca="false">IF(AND($R6="sim",OR(L6="FOUND",L6="PARTIAL")),"INVALID",IF(L6&lt;&gt;"FOUND",L6,IF($C6="qualitativo",IF(M6="","NOT_FOUND",IF(ISNA(MATCH(M6,Parametros!$A$35:$A$39,0)),"INVALID",IF(ISNUMBER(VLOOKUP(M6,Parametros!$A$35:$B$39,2,FALSE())),"FOUND","NOT_FOUND"))),IF(ISNUMBER(M6),"FOUND","NOT_FOUND"))))</f>
        <v>FOUND</v>
      </c>
      <c r="V6" s="31" t="str">
        <f aca="false">IF(S6&lt;&gt;"FOUND","",IF($C6="qualitativo",VLOOKUP(G6,Parametros!$A$35:$B$39,2,FALSE()),G6))</f>
        <v/>
      </c>
      <c r="W6" s="31" t="n">
        <f aca="false">IF(T6&lt;&gt;"FOUND","",IF($C6="qualitativo",VLOOKUP(J6,Parametros!$A$35:$B$39,2,FALSE()),J6))</f>
        <v>96</v>
      </c>
      <c r="X6" s="31" t="n">
        <f aca="false">IF(U6&lt;&gt;"FOUND","",IF($C6="qualitativo",VLOOKUP(M6,Parametros!$A$35:$B$39,2,FALSE()),M6))</f>
        <v>100</v>
      </c>
      <c r="Y6" s="31" t="n">
        <f aca="false">COUNT(V6:X6)</f>
        <v>2</v>
      </c>
      <c r="Z6" s="31" t="n">
        <f aca="false">IF(Y6=0,"",MIN(V6:X6))</f>
        <v>96</v>
      </c>
      <c r="AA6" s="31" t="n">
        <f aca="false">IF(Y6=0,"",MAX(V6:X6))</f>
        <v>100</v>
      </c>
      <c r="AB6" s="31" t="str">
        <f aca="false">IF(NOT(ISNUMBER(E6)),"no_weight",IF(Y6=0,IF(AND(S6="INVALID",T6="INVALID",U6="INVALID"),"invalid_for_comparison","no_evidence"),IF(AND(Y6&lt;3,Parametros!$B$50&lt;&gt;"SIM"),"missing_for_some_providers",IF(C6="qualitativo",IF(OR(Z6&lt;0,AA6&gt;1),"invalid_for_comparison",""),IF(D6="benefício",IF(AA6=0,"non_discriminative",IF(AA6&lt;0,"invalid_for_comparison","")),IF(Z6&lt;=0,"invalid_for_comparison",""))))))</f>
        <v/>
      </c>
      <c r="AC6" s="36" t="n">
        <f aca="false">IF(AB6&lt;&gt;"","",IF(V6="",0,IF(C6="qualitativo",V6,IF(D6="minimização",Z6/V6,V6/AA6))))</f>
        <v>0</v>
      </c>
      <c r="AD6" s="36" t="n">
        <f aca="false">IF(AB6&lt;&gt;"","",IF(W6="",0,IF(C6="qualitativo",W6,IF(D6="minimização",Z6/W6,W6/AA6))))</f>
        <v>0.96</v>
      </c>
      <c r="AE6" s="36" t="n">
        <f aca="false">IF(AB6&lt;&gt;"","",IF(X6="",0,IF(C6="qualitativo",X6,IF(D6="minimização",Z6/X6,X6/AA6))))</f>
        <v>1</v>
      </c>
      <c r="AF6" s="31" t="str">
        <f aca="false">IF(AB6&lt;&gt;"","",IF(MAX(AC6:AE6)-MIN(AC6:AE6)&lt;=Parametros!$B$47,"sim","não"))</f>
        <v>não</v>
      </c>
      <c r="AG6" s="31" t="str">
        <f aca="false">IF(AB6&lt;&gt;"",AB6,IF(AND(AF6="sim",$B$23="sim"),"non_discriminative",""))</f>
        <v/>
      </c>
      <c r="AH6" s="32" t="str">
        <f aca="false">IF(AG6="","sim","não")</f>
        <v>sim</v>
      </c>
      <c r="AI6" s="26" t="n">
        <f aca="false">IF(ISNUMBER(AC6),AC6,0)</f>
        <v>0</v>
      </c>
      <c r="AJ6" s="26" t="n">
        <f aca="false">IF(ISNUMBER(AD6),AD6,0)</f>
        <v>0.96</v>
      </c>
      <c r="AK6" s="26" t="n">
        <f aca="false">IF(ISNUMBER(AE6),AE6,0)</f>
        <v>1</v>
      </c>
      <c r="AL6" s="31" t="n">
        <f aca="false">IF(AH6="sim",1,0)</f>
        <v>1</v>
      </c>
      <c r="AM6" s="31" t="str">
        <f aca="false">IF(AND(AH6="sim",Y6&lt;3),TRIM(IF(V6="","AWS ","")&amp;IF(W6="","Google ","")&amp;IF(X6="","Azure","")),"")</f>
        <v>AWS</v>
      </c>
    </row>
    <row r="7" customFormat="false" ht="15" hidden="false" customHeight="true" outlineLevel="0" collapsed="false">
      <c r="A7" s="17" t="s">
        <v>145</v>
      </c>
      <c r="B7" s="31" t="s">
        <v>112</v>
      </c>
      <c r="C7" s="31" t="s">
        <v>201</v>
      </c>
      <c r="D7" s="31" t="s">
        <v>202</v>
      </c>
      <c r="E7" s="35" t="n">
        <f aca="false">Pesos_Indicadores!H7</f>
        <v>0.0170454545454545</v>
      </c>
      <c r="F7" s="20" t="s">
        <v>198</v>
      </c>
      <c r="G7" s="20" t="s">
        <v>80</v>
      </c>
      <c r="H7" s="20" t="n">
        <v>2026</v>
      </c>
      <c r="I7" s="20" t="s">
        <v>198</v>
      </c>
      <c r="J7" s="20" t="s">
        <v>80</v>
      </c>
      <c r="K7" s="20" t="n">
        <v>2026</v>
      </c>
      <c r="L7" s="20" t="s">
        <v>198</v>
      </c>
      <c r="M7" s="20" t="s">
        <v>80</v>
      </c>
      <c r="N7" s="20" t="n">
        <v>2026</v>
      </c>
      <c r="O7" s="31" t="n">
        <f aca="false">IF(AND(F7="FOUND",ISNUMBER(H7)),H7,"")</f>
        <v>2026</v>
      </c>
      <c r="P7" s="31" t="n">
        <f aca="false">IF(AND(I7="FOUND",ISNUMBER(K7)),K7,"")</f>
        <v>2026</v>
      </c>
      <c r="Q7" s="31" t="n">
        <f aca="false">IF(AND(L7="FOUND",ISNUMBER(N7)),N7,"")</f>
        <v>2026</v>
      </c>
      <c r="R7" s="31" t="str">
        <f aca="false">IF(OR(Parametros!$B$46="",COUNT(O7:Q7)&lt;2),"não",IF(MAX(O7:Q7)-MIN(O7:Q7)&gt;Parametros!$B$46,"sim","não"))</f>
        <v>não</v>
      </c>
      <c r="S7" s="31" t="str">
        <f aca="false">IF(AND($R7="sim",OR(F7="FOUND",F7="PARTIAL")),"INVALID",IF(F7&lt;&gt;"FOUND",F7,IF($C7="qualitativo",IF(G7="","NOT_FOUND",IF(ISNA(MATCH(G7,Parametros!$A$35:$A$39,0)),"INVALID",IF(ISNUMBER(VLOOKUP(G7,Parametros!$A$35:$B$39,2,FALSE())),"FOUND","NOT_FOUND"))),IF(ISNUMBER(G7),"FOUND","NOT_FOUND"))))</f>
        <v>FOUND</v>
      </c>
      <c r="T7" s="31" t="str">
        <f aca="false">IF(AND($R7="sim",OR(I7="FOUND",I7="PARTIAL")),"INVALID",IF(I7&lt;&gt;"FOUND",I7,IF($C7="qualitativo",IF(J7="","NOT_FOUND",IF(ISNA(MATCH(J7,Parametros!$A$35:$A$39,0)),"INVALID",IF(ISNUMBER(VLOOKUP(J7,Parametros!$A$35:$B$39,2,FALSE())),"FOUND","NOT_FOUND"))),IF(ISNUMBER(J7),"FOUND","NOT_FOUND"))))</f>
        <v>FOUND</v>
      </c>
      <c r="U7" s="31" t="str">
        <f aca="false">IF(AND($R7="sim",OR(L7="FOUND",L7="PARTIAL")),"INVALID",IF(L7&lt;&gt;"FOUND",L7,IF($C7="qualitativo",IF(M7="","NOT_FOUND",IF(ISNA(MATCH(M7,Parametros!$A$35:$A$39,0)),"INVALID",IF(ISNUMBER(VLOOKUP(M7,Parametros!$A$35:$B$39,2,FALSE())),"FOUND","NOT_FOUND"))),IF(ISNUMBER(M7),"FOUND","NOT_FOUND"))))</f>
        <v>FOUND</v>
      </c>
      <c r="V7" s="31" t="n">
        <f aca="false">IF(S7&lt;&gt;"FOUND","",IF($C7="qualitativo",VLOOKUP(G7,Parametros!$A$35:$B$39,2,FALSE()),G7))</f>
        <v>0.75</v>
      </c>
      <c r="W7" s="31" t="n">
        <f aca="false">IF(T7&lt;&gt;"FOUND","",IF($C7="qualitativo",VLOOKUP(J7,Parametros!$A$35:$B$39,2,FALSE()),J7))</f>
        <v>0.75</v>
      </c>
      <c r="X7" s="31" t="n">
        <f aca="false">IF(U7&lt;&gt;"FOUND","",IF($C7="qualitativo",VLOOKUP(M7,Parametros!$A$35:$B$39,2,FALSE()),M7))</f>
        <v>0.75</v>
      </c>
      <c r="Y7" s="31" t="n">
        <f aca="false">COUNT(V7:X7)</f>
        <v>3</v>
      </c>
      <c r="Z7" s="31" t="n">
        <f aca="false">IF(Y7=0,"",MIN(V7:X7))</f>
        <v>0.75</v>
      </c>
      <c r="AA7" s="31" t="n">
        <f aca="false">IF(Y7=0,"",MAX(V7:X7))</f>
        <v>0.75</v>
      </c>
      <c r="AB7" s="31" t="str">
        <f aca="false">IF(NOT(ISNUMBER(E7)),"no_weight",IF(Y7=0,IF(AND(S7="INVALID",T7="INVALID",U7="INVALID"),"invalid_for_comparison","no_evidence"),IF(AND(Y7&lt;3,Parametros!$B$50&lt;&gt;"SIM"),"missing_for_some_providers",IF(C7="qualitativo",IF(OR(Z7&lt;0,AA7&gt;1),"invalid_for_comparison",""),IF(D7="benefício",IF(AA7=0,"non_discriminative",IF(AA7&lt;0,"invalid_for_comparison","")),IF(Z7&lt;=0,"invalid_for_comparison",""))))))</f>
        <v/>
      </c>
      <c r="AC7" s="36" t="n">
        <f aca="false">IF(AB7&lt;&gt;"","",IF(V7="",0,IF(C7="qualitativo",V7,IF(D7="minimização",Z7/V7,V7/AA7))))</f>
        <v>0.75</v>
      </c>
      <c r="AD7" s="36" t="n">
        <f aca="false">IF(AB7&lt;&gt;"","",IF(W7="",0,IF(C7="qualitativo",W7,IF(D7="minimização",Z7/W7,W7/AA7))))</f>
        <v>0.75</v>
      </c>
      <c r="AE7" s="36" t="n">
        <f aca="false">IF(AB7&lt;&gt;"","",IF(X7="",0,IF(C7="qualitativo",X7,IF(D7="minimização",Z7/X7,X7/AA7))))</f>
        <v>0.75</v>
      </c>
      <c r="AF7" s="31" t="str">
        <f aca="false">IF(AB7&lt;&gt;"","",IF(MAX(AC7:AE7)-MIN(AC7:AE7)&lt;=Parametros!$B$47,"sim","não"))</f>
        <v>sim</v>
      </c>
      <c r="AG7" s="31" t="str">
        <f aca="false">IF(AB7&lt;&gt;"",AB7,IF(AND(AF7="sim",$B$23="sim"),"non_discriminative",""))</f>
        <v/>
      </c>
      <c r="AH7" s="32" t="str">
        <f aca="false">IF(AG7="","sim","não")</f>
        <v>sim</v>
      </c>
      <c r="AI7" s="26" t="n">
        <f aca="false">IF(ISNUMBER(AC7),AC7,0)</f>
        <v>0.75</v>
      </c>
      <c r="AJ7" s="26" t="n">
        <f aca="false">IF(ISNUMBER(AD7),AD7,0)</f>
        <v>0.75</v>
      </c>
      <c r="AK7" s="26" t="n">
        <f aca="false">IF(ISNUMBER(AE7),AE7,0)</f>
        <v>0.75</v>
      </c>
      <c r="AL7" s="31" t="n">
        <f aca="false">IF(AH7="sim",1,0)</f>
        <v>1</v>
      </c>
      <c r="AM7" s="31" t="str">
        <f aca="false">IF(AND(AH7="sim",Y7&lt;3),TRIM(IF(V7="","AWS ","")&amp;IF(W7="","Google ","")&amp;IF(X7="","Azure","")),"")</f>
        <v/>
      </c>
    </row>
    <row r="8" customFormat="false" ht="15" hidden="false" customHeight="true" outlineLevel="0" collapsed="false">
      <c r="A8" s="17" t="s">
        <v>146</v>
      </c>
      <c r="B8" s="31" t="s">
        <v>112</v>
      </c>
      <c r="C8" s="31" t="s">
        <v>196</v>
      </c>
      <c r="D8" s="31" t="s">
        <v>199</v>
      </c>
      <c r="E8" s="35" t="n">
        <f aca="false">Pesos_Indicadores!H8</f>
        <v>0.0170454545454545</v>
      </c>
      <c r="F8" s="20" t="s">
        <v>198</v>
      </c>
      <c r="G8" s="20" t="n">
        <v>84</v>
      </c>
      <c r="H8" s="20" t="n">
        <v>2026</v>
      </c>
      <c r="I8" s="20" t="s">
        <v>198</v>
      </c>
      <c r="J8" s="20" t="n">
        <v>88</v>
      </c>
      <c r="K8" s="20" t="n">
        <v>2026</v>
      </c>
      <c r="L8" s="20" t="s">
        <v>198</v>
      </c>
      <c r="M8" s="20" t="n">
        <v>92</v>
      </c>
      <c r="N8" s="20" t="n">
        <v>2026</v>
      </c>
      <c r="O8" s="31" t="n">
        <f aca="false">IF(AND(F8="FOUND",ISNUMBER(H8)),H8,"")</f>
        <v>2026</v>
      </c>
      <c r="P8" s="31" t="n">
        <f aca="false">IF(AND(I8="FOUND",ISNUMBER(K8)),K8,"")</f>
        <v>2026</v>
      </c>
      <c r="Q8" s="31" t="n">
        <f aca="false">IF(AND(L8="FOUND",ISNUMBER(N8)),N8,"")</f>
        <v>2026</v>
      </c>
      <c r="R8" s="31" t="str">
        <f aca="false">IF(OR(Parametros!$B$46="",COUNT(O8:Q8)&lt;2),"não",IF(MAX(O8:Q8)-MIN(O8:Q8)&gt;Parametros!$B$46,"sim","não"))</f>
        <v>não</v>
      </c>
      <c r="S8" s="31" t="str">
        <f aca="false">IF(AND($R8="sim",OR(F8="FOUND",F8="PARTIAL")),"INVALID",IF(F8&lt;&gt;"FOUND",F8,IF($C8="qualitativo",IF(G8="","NOT_FOUND",IF(ISNA(MATCH(G8,Parametros!$A$35:$A$39,0)),"INVALID",IF(ISNUMBER(VLOOKUP(G8,Parametros!$A$35:$B$39,2,FALSE())),"FOUND","NOT_FOUND"))),IF(ISNUMBER(G8),"FOUND","NOT_FOUND"))))</f>
        <v>FOUND</v>
      </c>
      <c r="T8" s="31" t="str">
        <f aca="false">IF(AND($R8="sim",OR(I8="FOUND",I8="PARTIAL")),"INVALID",IF(I8&lt;&gt;"FOUND",I8,IF($C8="qualitativo",IF(J8="","NOT_FOUND",IF(ISNA(MATCH(J8,Parametros!$A$35:$A$39,0)),"INVALID",IF(ISNUMBER(VLOOKUP(J8,Parametros!$A$35:$B$39,2,FALSE())),"FOUND","NOT_FOUND"))),IF(ISNUMBER(J8),"FOUND","NOT_FOUND"))))</f>
        <v>FOUND</v>
      </c>
      <c r="U8" s="31" t="str">
        <f aca="false">IF(AND($R8="sim",OR(L8="FOUND",L8="PARTIAL")),"INVALID",IF(L8&lt;&gt;"FOUND",L8,IF($C8="qualitativo",IF(M8="","NOT_FOUND",IF(ISNA(MATCH(M8,Parametros!$A$35:$A$39,0)),"INVALID",IF(ISNUMBER(VLOOKUP(M8,Parametros!$A$35:$B$39,2,FALSE())),"FOUND","NOT_FOUND"))),IF(ISNUMBER(M8),"FOUND","NOT_FOUND"))))</f>
        <v>FOUND</v>
      </c>
      <c r="V8" s="31" t="n">
        <f aca="false">IF(S8&lt;&gt;"FOUND","",IF($C8="qualitativo",VLOOKUP(G8,Parametros!$A$35:$B$39,2,FALSE()),G8))</f>
        <v>84</v>
      </c>
      <c r="W8" s="31" t="n">
        <f aca="false">IF(T8&lt;&gt;"FOUND","",IF($C8="qualitativo",VLOOKUP(J8,Parametros!$A$35:$B$39,2,FALSE()),J8))</f>
        <v>88</v>
      </c>
      <c r="X8" s="31" t="n">
        <f aca="false">IF(U8&lt;&gt;"FOUND","",IF($C8="qualitativo",VLOOKUP(M8,Parametros!$A$35:$B$39,2,FALSE()),M8))</f>
        <v>92</v>
      </c>
      <c r="Y8" s="31" t="n">
        <f aca="false">COUNT(V8:X8)</f>
        <v>3</v>
      </c>
      <c r="Z8" s="31" t="n">
        <f aca="false">IF(Y8=0,"",MIN(V8:X8))</f>
        <v>84</v>
      </c>
      <c r="AA8" s="31" t="n">
        <f aca="false">IF(Y8=0,"",MAX(V8:X8))</f>
        <v>92</v>
      </c>
      <c r="AB8" s="31" t="str">
        <f aca="false">IF(NOT(ISNUMBER(E8)),"no_weight",IF(Y8=0,IF(AND(S8="INVALID",T8="INVALID",U8="INVALID"),"invalid_for_comparison","no_evidence"),IF(AND(Y8&lt;3,Parametros!$B$50&lt;&gt;"SIM"),"missing_for_some_providers",IF(C8="qualitativo",IF(OR(Z8&lt;0,AA8&gt;1),"invalid_for_comparison",""),IF(D8="benefício",IF(AA8=0,"non_discriminative",IF(AA8&lt;0,"invalid_for_comparison","")),IF(Z8&lt;=0,"invalid_for_comparison",""))))))</f>
        <v/>
      </c>
      <c r="AC8" s="36" t="n">
        <f aca="false">IF(AB8&lt;&gt;"","",IF(V8="",0,IF(C8="qualitativo",V8,IF(D8="minimização",Z8/V8,V8/AA8))))</f>
        <v>0.91304347826087</v>
      </c>
      <c r="AD8" s="36" t="n">
        <f aca="false">IF(AB8&lt;&gt;"","",IF(W8="",0,IF(C8="qualitativo",W8,IF(D8="minimização",Z8/W8,W8/AA8))))</f>
        <v>0.956521739130435</v>
      </c>
      <c r="AE8" s="36" t="n">
        <f aca="false">IF(AB8&lt;&gt;"","",IF(X8="",0,IF(C8="qualitativo",X8,IF(D8="minimização",Z8/X8,X8/AA8))))</f>
        <v>1</v>
      </c>
      <c r="AF8" s="31" t="str">
        <f aca="false">IF(AB8&lt;&gt;"","",IF(MAX(AC8:AE8)-MIN(AC8:AE8)&lt;=Parametros!$B$47,"sim","não"))</f>
        <v>não</v>
      </c>
      <c r="AG8" s="31" t="str">
        <f aca="false">IF(AB8&lt;&gt;"",AB8,IF(AND(AF8="sim",$B$23="sim"),"non_discriminative",""))</f>
        <v/>
      </c>
      <c r="AH8" s="32" t="str">
        <f aca="false">IF(AG8="","sim","não")</f>
        <v>sim</v>
      </c>
      <c r="AI8" s="26" t="n">
        <f aca="false">IF(ISNUMBER(AC8),AC8,0)</f>
        <v>0.91304347826087</v>
      </c>
      <c r="AJ8" s="26" t="n">
        <f aca="false">IF(ISNUMBER(AD8),AD8,0)</f>
        <v>0.956521739130435</v>
      </c>
      <c r="AK8" s="26" t="n">
        <f aca="false">IF(ISNUMBER(AE8),AE8,0)</f>
        <v>1</v>
      </c>
      <c r="AL8" s="31" t="n">
        <f aca="false">IF(AH8="sim",1,0)</f>
        <v>1</v>
      </c>
      <c r="AM8" s="31" t="str">
        <f aca="false">IF(AND(AH8="sim",Y8&lt;3),TRIM(IF(V8="","AWS ","")&amp;IF(W8="","Google ","")&amp;IF(X8="","Azure","")),"")</f>
        <v/>
      </c>
    </row>
    <row r="9" customFormat="false" ht="15" hidden="false" customHeight="true" outlineLevel="0" collapsed="false">
      <c r="A9" s="17" t="s">
        <v>147</v>
      </c>
      <c r="B9" s="31" t="s">
        <v>112</v>
      </c>
      <c r="C9" s="31" t="s">
        <v>201</v>
      </c>
      <c r="D9" s="31" t="s">
        <v>202</v>
      </c>
      <c r="E9" s="35" t="n">
        <f aca="false">Pesos_Indicadores!H9</f>
        <v>0.0170454545454545</v>
      </c>
      <c r="F9" s="20" t="s">
        <v>198</v>
      </c>
      <c r="G9" s="20" t="s">
        <v>80</v>
      </c>
      <c r="H9" s="20" t="n">
        <v>2026</v>
      </c>
      <c r="I9" s="20" t="s">
        <v>198</v>
      </c>
      <c r="J9" s="20" t="s">
        <v>80</v>
      </c>
      <c r="K9" s="20" t="n">
        <v>2026</v>
      </c>
      <c r="L9" s="20" t="s">
        <v>198</v>
      </c>
      <c r="M9" s="20" t="s">
        <v>80</v>
      </c>
      <c r="N9" s="20" t="n">
        <v>2026</v>
      </c>
      <c r="O9" s="31" t="n">
        <f aca="false">IF(AND(F9="FOUND",ISNUMBER(H9)),H9,"")</f>
        <v>2026</v>
      </c>
      <c r="P9" s="31" t="n">
        <f aca="false">IF(AND(I9="FOUND",ISNUMBER(K9)),K9,"")</f>
        <v>2026</v>
      </c>
      <c r="Q9" s="31" t="n">
        <f aca="false">IF(AND(L9="FOUND",ISNUMBER(N9)),N9,"")</f>
        <v>2026</v>
      </c>
      <c r="R9" s="31" t="str">
        <f aca="false">IF(OR(Parametros!$B$46="",COUNT(O9:Q9)&lt;2),"não",IF(MAX(O9:Q9)-MIN(O9:Q9)&gt;Parametros!$B$46,"sim","não"))</f>
        <v>não</v>
      </c>
      <c r="S9" s="31" t="str">
        <f aca="false">IF(AND($R9="sim",OR(F9="FOUND",F9="PARTIAL")),"INVALID",IF(F9&lt;&gt;"FOUND",F9,IF($C9="qualitativo",IF(G9="","NOT_FOUND",IF(ISNA(MATCH(G9,Parametros!$A$35:$A$39,0)),"INVALID",IF(ISNUMBER(VLOOKUP(G9,Parametros!$A$35:$B$39,2,FALSE())),"FOUND","NOT_FOUND"))),IF(ISNUMBER(G9),"FOUND","NOT_FOUND"))))</f>
        <v>FOUND</v>
      </c>
      <c r="T9" s="31" t="str">
        <f aca="false">IF(AND($R9="sim",OR(I9="FOUND",I9="PARTIAL")),"INVALID",IF(I9&lt;&gt;"FOUND",I9,IF($C9="qualitativo",IF(J9="","NOT_FOUND",IF(ISNA(MATCH(J9,Parametros!$A$35:$A$39,0)),"INVALID",IF(ISNUMBER(VLOOKUP(J9,Parametros!$A$35:$B$39,2,FALSE())),"FOUND","NOT_FOUND"))),IF(ISNUMBER(J9),"FOUND","NOT_FOUND"))))</f>
        <v>FOUND</v>
      </c>
      <c r="U9" s="31" t="str">
        <f aca="false">IF(AND($R9="sim",OR(L9="FOUND",L9="PARTIAL")),"INVALID",IF(L9&lt;&gt;"FOUND",L9,IF($C9="qualitativo",IF(M9="","NOT_FOUND",IF(ISNA(MATCH(M9,Parametros!$A$35:$A$39,0)),"INVALID",IF(ISNUMBER(VLOOKUP(M9,Parametros!$A$35:$B$39,2,FALSE())),"FOUND","NOT_FOUND"))),IF(ISNUMBER(M9),"FOUND","NOT_FOUND"))))</f>
        <v>FOUND</v>
      </c>
      <c r="V9" s="31" t="n">
        <f aca="false">IF(S9&lt;&gt;"FOUND","",IF($C9="qualitativo",VLOOKUP(G9,Parametros!$A$35:$B$39,2,FALSE()),G9))</f>
        <v>0.75</v>
      </c>
      <c r="W9" s="31" t="n">
        <f aca="false">IF(T9&lt;&gt;"FOUND","",IF($C9="qualitativo",VLOOKUP(J9,Parametros!$A$35:$B$39,2,FALSE()),J9))</f>
        <v>0.75</v>
      </c>
      <c r="X9" s="31" t="n">
        <f aca="false">IF(U9&lt;&gt;"FOUND","",IF($C9="qualitativo",VLOOKUP(M9,Parametros!$A$35:$B$39,2,FALSE()),M9))</f>
        <v>0.75</v>
      </c>
      <c r="Y9" s="31" t="n">
        <f aca="false">COUNT(V9:X9)</f>
        <v>3</v>
      </c>
      <c r="Z9" s="31" t="n">
        <f aca="false">IF(Y9=0,"",MIN(V9:X9))</f>
        <v>0.75</v>
      </c>
      <c r="AA9" s="31" t="n">
        <f aca="false">IF(Y9=0,"",MAX(V9:X9))</f>
        <v>0.75</v>
      </c>
      <c r="AB9" s="31" t="str">
        <f aca="false">IF(NOT(ISNUMBER(E9)),"no_weight",IF(Y9=0,IF(AND(S9="INVALID",T9="INVALID",U9="INVALID"),"invalid_for_comparison","no_evidence"),IF(AND(Y9&lt;3,Parametros!$B$50&lt;&gt;"SIM"),"missing_for_some_providers",IF(C9="qualitativo",IF(OR(Z9&lt;0,AA9&gt;1),"invalid_for_comparison",""),IF(D9="benefício",IF(AA9=0,"non_discriminative",IF(AA9&lt;0,"invalid_for_comparison","")),IF(Z9&lt;=0,"invalid_for_comparison",""))))))</f>
        <v/>
      </c>
      <c r="AC9" s="36" t="n">
        <f aca="false">IF(AB9&lt;&gt;"","",IF(V9="",0,IF(C9="qualitativo",V9,IF(D9="minimização",Z9/V9,V9/AA9))))</f>
        <v>0.75</v>
      </c>
      <c r="AD9" s="36" t="n">
        <f aca="false">IF(AB9&lt;&gt;"","",IF(W9="",0,IF(C9="qualitativo",W9,IF(D9="minimização",Z9/W9,W9/AA9))))</f>
        <v>0.75</v>
      </c>
      <c r="AE9" s="36" t="n">
        <f aca="false">IF(AB9&lt;&gt;"","",IF(X9="",0,IF(C9="qualitativo",X9,IF(D9="minimização",Z9/X9,X9/AA9))))</f>
        <v>0.75</v>
      </c>
      <c r="AF9" s="31" t="str">
        <f aca="false">IF(AB9&lt;&gt;"","",IF(MAX(AC9:AE9)-MIN(AC9:AE9)&lt;=Parametros!$B$47,"sim","não"))</f>
        <v>sim</v>
      </c>
      <c r="AG9" s="31" t="str">
        <f aca="false">IF(AB9&lt;&gt;"",AB9,IF(AND(AF9="sim",$B$23="sim"),"non_discriminative",""))</f>
        <v/>
      </c>
      <c r="AH9" s="32" t="str">
        <f aca="false">IF(AG9="","sim","não")</f>
        <v>sim</v>
      </c>
      <c r="AI9" s="26" t="n">
        <f aca="false">IF(ISNUMBER(AC9),AC9,0)</f>
        <v>0.75</v>
      </c>
      <c r="AJ9" s="26" t="n">
        <f aca="false">IF(ISNUMBER(AD9),AD9,0)</f>
        <v>0.75</v>
      </c>
      <c r="AK9" s="26" t="n">
        <f aca="false">IF(ISNUMBER(AE9),AE9,0)</f>
        <v>0.75</v>
      </c>
      <c r="AL9" s="31" t="n">
        <f aca="false">IF(AH9="sim",1,0)</f>
        <v>1</v>
      </c>
      <c r="AM9" s="31" t="str">
        <f aca="false">IF(AND(AH9="sim",Y9&lt;3),TRIM(IF(V9="","AWS ","")&amp;IF(W9="","Google ","")&amp;IF(X9="","Azure","")),"")</f>
        <v/>
      </c>
    </row>
    <row r="10" customFormat="false" ht="15" hidden="false" customHeight="true" outlineLevel="0" collapsed="false">
      <c r="A10" s="17" t="s">
        <v>148</v>
      </c>
      <c r="B10" s="31" t="s">
        <v>113</v>
      </c>
      <c r="C10" s="31" t="s">
        <v>196</v>
      </c>
      <c r="D10" s="31" t="s">
        <v>199</v>
      </c>
      <c r="E10" s="35" t="n">
        <f aca="false">Pesos_Indicadores!H10</f>
        <v>0.027972027972028</v>
      </c>
      <c r="F10" s="20" t="s">
        <v>198</v>
      </c>
      <c r="G10" s="20" t="n">
        <v>99.99</v>
      </c>
      <c r="H10" s="20" t="n">
        <v>2026</v>
      </c>
      <c r="I10" s="20" t="s">
        <v>198</v>
      </c>
      <c r="J10" s="20" t="n">
        <v>99.99</v>
      </c>
      <c r="K10" s="20" t="n">
        <v>2026</v>
      </c>
      <c r="L10" s="20" t="s">
        <v>198</v>
      </c>
      <c r="M10" s="20" t="n">
        <v>99.9</v>
      </c>
      <c r="N10" s="20" t="n">
        <v>2026</v>
      </c>
      <c r="O10" s="31" t="n">
        <f aca="false">IF(AND(F10="FOUND",ISNUMBER(H10)),H10,"")</f>
        <v>2026</v>
      </c>
      <c r="P10" s="31" t="n">
        <f aca="false">IF(AND(I10="FOUND",ISNUMBER(K10)),K10,"")</f>
        <v>2026</v>
      </c>
      <c r="Q10" s="31" t="n">
        <f aca="false">IF(AND(L10="FOUND",ISNUMBER(N10)),N10,"")</f>
        <v>2026</v>
      </c>
      <c r="R10" s="31" t="str">
        <f aca="false">IF(OR(Parametros!$B$46="",COUNT(O10:Q10)&lt;2),"não",IF(MAX(O10:Q10)-MIN(O10:Q10)&gt;Parametros!$B$46,"sim","não"))</f>
        <v>não</v>
      </c>
      <c r="S10" s="31" t="str">
        <f aca="false">IF(AND($R10="sim",OR(F10="FOUND",F10="PARTIAL")),"INVALID",IF(F10&lt;&gt;"FOUND",F10,IF($C10="qualitativo",IF(G10="","NOT_FOUND",IF(ISNA(MATCH(G10,Parametros!$A$35:$A$39,0)),"INVALID",IF(ISNUMBER(VLOOKUP(G10,Parametros!$A$35:$B$39,2,FALSE())),"FOUND","NOT_FOUND"))),IF(ISNUMBER(G10),"FOUND","NOT_FOUND"))))</f>
        <v>FOUND</v>
      </c>
      <c r="T10" s="31" t="str">
        <f aca="false">IF(AND($R10="sim",OR(I10="FOUND",I10="PARTIAL")),"INVALID",IF(I10&lt;&gt;"FOUND",I10,IF($C10="qualitativo",IF(J10="","NOT_FOUND",IF(ISNA(MATCH(J10,Parametros!$A$35:$A$39,0)),"INVALID",IF(ISNUMBER(VLOOKUP(J10,Parametros!$A$35:$B$39,2,FALSE())),"FOUND","NOT_FOUND"))),IF(ISNUMBER(J10),"FOUND","NOT_FOUND"))))</f>
        <v>FOUND</v>
      </c>
      <c r="U10" s="31" t="str">
        <f aca="false">IF(AND($R10="sim",OR(L10="FOUND",L10="PARTIAL")),"INVALID",IF(L10&lt;&gt;"FOUND",L10,IF($C10="qualitativo",IF(M10="","NOT_FOUND",IF(ISNA(MATCH(M10,Parametros!$A$35:$A$39,0)),"INVALID",IF(ISNUMBER(VLOOKUP(M10,Parametros!$A$35:$B$39,2,FALSE())),"FOUND","NOT_FOUND"))),IF(ISNUMBER(M10),"FOUND","NOT_FOUND"))))</f>
        <v>FOUND</v>
      </c>
      <c r="V10" s="31" t="n">
        <f aca="false">IF(S10&lt;&gt;"FOUND","",IF($C10="qualitativo",VLOOKUP(G10,Parametros!$A$35:$B$39,2,FALSE()),G10))</f>
        <v>99.99</v>
      </c>
      <c r="W10" s="31" t="n">
        <f aca="false">IF(T10&lt;&gt;"FOUND","",IF($C10="qualitativo",VLOOKUP(J10,Parametros!$A$35:$B$39,2,FALSE()),J10))</f>
        <v>99.99</v>
      </c>
      <c r="X10" s="31" t="n">
        <f aca="false">IF(U10&lt;&gt;"FOUND","",IF($C10="qualitativo",VLOOKUP(M10,Parametros!$A$35:$B$39,2,FALSE()),M10))</f>
        <v>99.9</v>
      </c>
      <c r="Y10" s="31" t="n">
        <f aca="false">COUNT(V10:X10)</f>
        <v>3</v>
      </c>
      <c r="Z10" s="31" t="n">
        <f aca="false">IF(Y10=0,"",MIN(V10:X10))</f>
        <v>99.9</v>
      </c>
      <c r="AA10" s="31" t="n">
        <f aca="false">IF(Y10=0,"",MAX(V10:X10))</f>
        <v>99.99</v>
      </c>
      <c r="AB10" s="31" t="str">
        <f aca="false">IF(NOT(ISNUMBER(E10)),"no_weight",IF(Y10=0,IF(AND(S10="INVALID",T10="INVALID",U10="INVALID"),"invalid_for_comparison","no_evidence"),IF(AND(Y10&lt;3,Parametros!$B$50&lt;&gt;"SIM"),"missing_for_some_providers",IF(C10="qualitativo",IF(OR(Z10&lt;0,AA10&gt;1),"invalid_for_comparison",""),IF(D10="benefício",IF(AA10=0,"non_discriminative",IF(AA10&lt;0,"invalid_for_comparison","")),IF(Z10&lt;=0,"invalid_for_comparison",""))))))</f>
        <v/>
      </c>
      <c r="AC10" s="36" t="n">
        <f aca="false">IF(AB10&lt;&gt;"","",IF(V10="",0,IF(C10="qualitativo",V10,IF(D10="minimização",Z10/V10,V10/AA10))))</f>
        <v>1</v>
      </c>
      <c r="AD10" s="36" t="n">
        <f aca="false">IF(AB10&lt;&gt;"","",IF(W10="",0,IF(C10="qualitativo",W10,IF(D10="minimização",Z10/W10,W10/AA10))))</f>
        <v>1</v>
      </c>
      <c r="AE10" s="36" t="n">
        <f aca="false">IF(AB10&lt;&gt;"","",IF(X10="",0,IF(C10="qualitativo",X10,IF(D10="minimização",Z10/X10,X10/AA10))))</f>
        <v>0.999099909990999</v>
      </c>
      <c r="AF10" s="31" t="str">
        <f aca="false">IF(AB10&lt;&gt;"","",IF(MAX(AC10:AE10)-MIN(AC10:AE10)&lt;=Parametros!$B$47,"sim","não"))</f>
        <v>não</v>
      </c>
      <c r="AG10" s="31" t="str">
        <f aca="false">IF(AB10&lt;&gt;"",AB10,IF(AND(AF10="sim",$B$23="sim"),"non_discriminative",""))</f>
        <v/>
      </c>
      <c r="AH10" s="32" t="str">
        <f aca="false">IF(AG10="","sim","não")</f>
        <v>sim</v>
      </c>
      <c r="AI10" s="26" t="n">
        <f aca="false">IF(ISNUMBER(AC10),AC10,0)</f>
        <v>1</v>
      </c>
      <c r="AJ10" s="26" t="n">
        <f aca="false">IF(ISNUMBER(AD10),AD10,0)</f>
        <v>1</v>
      </c>
      <c r="AK10" s="26" t="n">
        <f aca="false">IF(ISNUMBER(AE10),AE10,0)</f>
        <v>0.999099909990999</v>
      </c>
      <c r="AL10" s="31" t="n">
        <f aca="false">IF(AH10="sim",1,0)</f>
        <v>1</v>
      </c>
      <c r="AM10" s="31" t="str">
        <f aca="false">IF(AND(AH10="sim",Y10&lt;3),TRIM(IF(V10="","AWS ","")&amp;IF(W10="","Google ","")&amp;IF(X10="","Azure","")),"")</f>
        <v/>
      </c>
    </row>
    <row r="11" customFormat="false" ht="15" hidden="false" customHeight="true" outlineLevel="0" collapsed="false">
      <c r="A11" s="17" t="s">
        <v>149</v>
      </c>
      <c r="B11" s="31" t="s">
        <v>113</v>
      </c>
      <c r="C11" s="31" t="s">
        <v>201</v>
      </c>
      <c r="D11" s="31" t="s">
        <v>202</v>
      </c>
      <c r="E11" s="35" t="n">
        <f aca="false">Pesos_Indicadores!H11</f>
        <v>0.020979020979021</v>
      </c>
      <c r="F11" s="20" t="s">
        <v>198</v>
      </c>
      <c r="G11" s="20" t="s">
        <v>80</v>
      </c>
      <c r="H11" s="20" t="n">
        <v>2026</v>
      </c>
      <c r="I11" s="20" t="s">
        <v>198</v>
      </c>
      <c r="J11" s="20" t="s">
        <v>80</v>
      </c>
      <c r="K11" s="20" t="n">
        <v>2026</v>
      </c>
      <c r="L11" s="20" t="s">
        <v>198</v>
      </c>
      <c r="M11" s="20" t="s">
        <v>80</v>
      </c>
      <c r="N11" s="20" t="n">
        <v>2026</v>
      </c>
      <c r="O11" s="31" t="n">
        <f aca="false">IF(AND(F11="FOUND",ISNUMBER(H11)),H11,"")</f>
        <v>2026</v>
      </c>
      <c r="P11" s="31" t="n">
        <f aca="false">IF(AND(I11="FOUND",ISNUMBER(K11)),K11,"")</f>
        <v>2026</v>
      </c>
      <c r="Q11" s="31" t="n">
        <f aca="false">IF(AND(L11="FOUND",ISNUMBER(N11)),N11,"")</f>
        <v>2026</v>
      </c>
      <c r="R11" s="31" t="str">
        <f aca="false">IF(OR(Parametros!$B$46="",COUNT(O11:Q11)&lt;2),"não",IF(MAX(O11:Q11)-MIN(O11:Q11)&gt;Parametros!$B$46,"sim","não"))</f>
        <v>não</v>
      </c>
      <c r="S11" s="31" t="str">
        <f aca="false">IF(AND($R11="sim",OR(F11="FOUND",F11="PARTIAL")),"INVALID",IF(F11&lt;&gt;"FOUND",F11,IF($C11="qualitativo",IF(G11="","NOT_FOUND",IF(ISNA(MATCH(G11,Parametros!$A$35:$A$39,0)),"INVALID",IF(ISNUMBER(VLOOKUP(G11,Parametros!$A$35:$B$39,2,FALSE())),"FOUND","NOT_FOUND"))),IF(ISNUMBER(G11),"FOUND","NOT_FOUND"))))</f>
        <v>FOUND</v>
      </c>
      <c r="T11" s="31" t="str">
        <f aca="false">IF(AND($R11="sim",OR(I11="FOUND",I11="PARTIAL")),"INVALID",IF(I11&lt;&gt;"FOUND",I11,IF($C11="qualitativo",IF(J11="","NOT_FOUND",IF(ISNA(MATCH(J11,Parametros!$A$35:$A$39,0)),"INVALID",IF(ISNUMBER(VLOOKUP(J11,Parametros!$A$35:$B$39,2,FALSE())),"FOUND","NOT_FOUND"))),IF(ISNUMBER(J11),"FOUND","NOT_FOUND"))))</f>
        <v>FOUND</v>
      </c>
      <c r="U11" s="31" t="str">
        <f aca="false">IF(AND($R11="sim",OR(L11="FOUND",L11="PARTIAL")),"INVALID",IF(L11&lt;&gt;"FOUND",L11,IF($C11="qualitativo",IF(M11="","NOT_FOUND",IF(ISNA(MATCH(M11,Parametros!$A$35:$A$39,0)),"INVALID",IF(ISNUMBER(VLOOKUP(M11,Parametros!$A$35:$B$39,2,FALSE())),"FOUND","NOT_FOUND"))),IF(ISNUMBER(M11),"FOUND","NOT_FOUND"))))</f>
        <v>FOUND</v>
      </c>
      <c r="V11" s="31" t="n">
        <f aca="false">IF(S11&lt;&gt;"FOUND","",IF($C11="qualitativo",VLOOKUP(G11,Parametros!$A$35:$B$39,2,FALSE()),G11))</f>
        <v>0.75</v>
      </c>
      <c r="W11" s="31" t="n">
        <f aca="false">IF(T11&lt;&gt;"FOUND","",IF($C11="qualitativo",VLOOKUP(J11,Parametros!$A$35:$B$39,2,FALSE()),J11))</f>
        <v>0.75</v>
      </c>
      <c r="X11" s="31" t="n">
        <f aca="false">IF(U11&lt;&gt;"FOUND","",IF($C11="qualitativo",VLOOKUP(M11,Parametros!$A$35:$B$39,2,FALSE()),M11))</f>
        <v>0.75</v>
      </c>
      <c r="Y11" s="31" t="n">
        <f aca="false">COUNT(V11:X11)</f>
        <v>3</v>
      </c>
      <c r="Z11" s="31" t="n">
        <f aca="false">IF(Y11=0,"",MIN(V11:X11))</f>
        <v>0.75</v>
      </c>
      <c r="AA11" s="31" t="n">
        <f aca="false">IF(Y11=0,"",MAX(V11:X11))</f>
        <v>0.75</v>
      </c>
      <c r="AB11" s="31" t="str">
        <f aca="false">IF(NOT(ISNUMBER(E11)),"no_weight",IF(Y11=0,IF(AND(S11="INVALID",T11="INVALID",U11="INVALID"),"invalid_for_comparison","no_evidence"),IF(AND(Y11&lt;3,Parametros!$B$50&lt;&gt;"SIM"),"missing_for_some_providers",IF(C11="qualitativo",IF(OR(Z11&lt;0,AA11&gt;1),"invalid_for_comparison",""),IF(D11="benefício",IF(AA11=0,"non_discriminative",IF(AA11&lt;0,"invalid_for_comparison","")),IF(Z11&lt;=0,"invalid_for_comparison",""))))))</f>
        <v/>
      </c>
      <c r="AC11" s="36" t="n">
        <f aca="false">IF(AB11&lt;&gt;"","",IF(V11="",0,IF(C11="qualitativo",V11,IF(D11="minimização",Z11/V11,V11/AA11))))</f>
        <v>0.75</v>
      </c>
      <c r="AD11" s="36" t="n">
        <f aca="false">IF(AB11&lt;&gt;"","",IF(W11="",0,IF(C11="qualitativo",W11,IF(D11="minimização",Z11/W11,W11/AA11))))</f>
        <v>0.75</v>
      </c>
      <c r="AE11" s="36" t="n">
        <f aca="false">IF(AB11&lt;&gt;"","",IF(X11="",0,IF(C11="qualitativo",X11,IF(D11="minimização",Z11/X11,X11/AA11))))</f>
        <v>0.75</v>
      </c>
      <c r="AF11" s="31" t="str">
        <f aca="false">IF(AB11&lt;&gt;"","",IF(MAX(AC11:AE11)-MIN(AC11:AE11)&lt;=Parametros!$B$47,"sim","não"))</f>
        <v>sim</v>
      </c>
      <c r="AG11" s="31" t="str">
        <f aca="false">IF(AB11&lt;&gt;"",AB11,IF(AND(AF11="sim",$B$23="sim"),"non_discriminative",""))</f>
        <v/>
      </c>
      <c r="AH11" s="32" t="str">
        <f aca="false">IF(AG11="","sim","não")</f>
        <v>sim</v>
      </c>
      <c r="AI11" s="26" t="n">
        <f aca="false">IF(ISNUMBER(AC11),AC11,0)</f>
        <v>0.75</v>
      </c>
      <c r="AJ11" s="26" t="n">
        <f aca="false">IF(ISNUMBER(AD11),AD11,0)</f>
        <v>0.75</v>
      </c>
      <c r="AK11" s="26" t="n">
        <f aca="false">IF(ISNUMBER(AE11),AE11,0)</f>
        <v>0.75</v>
      </c>
      <c r="AL11" s="31" t="n">
        <f aca="false">IF(AH11="sim",1,0)</f>
        <v>1</v>
      </c>
      <c r="AM11" s="31" t="str">
        <f aca="false">IF(AND(AH11="sim",Y11&lt;3),TRIM(IF(V11="","AWS ","")&amp;IF(W11="","Google ","")&amp;IF(X11="","Azure","")),"")</f>
        <v/>
      </c>
    </row>
    <row r="12" customFormat="false" ht="15" hidden="false" customHeight="true" outlineLevel="0" collapsed="false">
      <c r="A12" s="17" t="s">
        <v>150</v>
      </c>
      <c r="B12" s="31" t="s">
        <v>113</v>
      </c>
      <c r="C12" s="31" t="s">
        <v>196</v>
      </c>
      <c r="D12" s="31" t="s">
        <v>197</v>
      </c>
      <c r="E12" s="35" t="n">
        <f aca="false">Pesos_Indicadores!H12</f>
        <v>0.020979020979021</v>
      </c>
      <c r="F12" s="20" t="s">
        <v>203</v>
      </c>
      <c r="G12" s="20"/>
      <c r="H12" s="20"/>
      <c r="I12" s="20" t="s">
        <v>203</v>
      </c>
      <c r="J12" s="20"/>
      <c r="K12" s="20"/>
      <c r="L12" s="20" t="s">
        <v>200</v>
      </c>
      <c r="M12" s="20"/>
      <c r="N12" s="20"/>
      <c r="O12" s="31" t="str">
        <f aca="false">IF(AND(F12="FOUND",ISNUMBER(H12)),H12,"")</f>
        <v/>
      </c>
      <c r="P12" s="31" t="str">
        <f aca="false">IF(AND(I12="FOUND",ISNUMBER(K12)),K12,"")</f>
        <v/>
      </c>
      <c r="Q12" s="31" t="str">
        <f aca="false">IF(AND(L12="FOUND",ISNUMBER(N12)),N12,"")</f>
        <v/>
      </c>
      <c r="R12" s="31" t="str">
        <f aca="false">IF(OR(Parametros!$B$46="",COUNT(O12:Q12)&lt;2),"não",IF(MAX(O12:Q12)-MIN(O12:Q12)&gt;Parametros!$B$46,"sim","não"))</f>
        <v>não</v>
      </c>
      <c r="S12" s="31" t="str">
        <f aca="false">IF(AND($R12="sim",OR(F12="FOUND",F12="PARTIAL")),"INVALID",IF(F12&lt;&gt;"FOUND",F12,IF($C12="qualitativo",IF(G12="","NOT_FOUND",IF(ISNA(MATCH(G12,Parametros!$A$35:$A$39,0)),"INVALID",IF(ISNUMBER(VLOOKUP(G12,Parametros!$A$35:$B$39,2,FALSE())),"FOUND","NOT_FOUND"))),IF(ISNUMBER(G12),"FOUND","NOT_FOUND"))))</f>
        <v>NOT_FOUND</v>
      </c>
      <c r="T12" s="31" t="str">
        <f aca="false">IF(AND($R12="sim",OR(I12="FOUND",I12="PARTIAL")),"INVALID",IF(I12&lt;&gt;"FOUND",I12,IF($C12="qualitativo",IF(J12="","NOT_FOUND",IF(ISNA(MATCH(J12,Parametros!$A$35:$A$39,0)),"INVALID",IF(ISNUMBER(VLOOKUP(J12,Parametros!$A$35:$B$39,2,FALSE())),"FOUND","NOT_FOUND"))),IF(ISNUMBER(J12),"FOUND","NOT_FOUND"))))</f>
        <v>NOT_FOUND</v>
      </c>
      <c r="U12" s="31" t="str">
        <f aca="false">IF(AND($R12="sim",OR(L12="FOUND",L12="PARTIAL")),"INVALID",IF(L12&lt;&gt;"FOUND",L12,IF($C12="qualitativo",IF(M12="","NOT_FOUND",IF(ISNA(MATCH(M12,Parametros!$A$35:$A$39,0)),"INVALID",IF(ISNUMBER(VLOOKUP(M12,Parametros!$A$35:$B$39,2,FALSE())),"FOUND","NOT_FOUND"))),IF(ISNUMBER(M12),"FOUND","NOT_FOUND"))))</f>
        <v>INVALID</v>
      </c>
      <c r="V12" s="31" t="str">
        <f aca="false">IF(S12&lt;&gt;"FOUND","",IF($C12="qualitativo",VLOOKUP(G12,Parametros!$A$35:$B$39,2,FALSE()),G12))</f>
        <v/>
      </c>
      <c r="W12" s="31" t="str">
        <f aca="false">IF(T12&lt;&gt;"FOUND","",IF($C12="qualitativo",VLOOKUP(J12,Parametros!$A$35:$B$39,2,FALSE()),J12))</f>
        <v/>
      </c>
      <c r="X12" s="31" t="str">
        <f aca="false">IF(U12&lt;&gt;"FOUND","",IF($C12="qualitativo",VLOOKUP(M12,Parametros!$A$35:$B$39,2,FALSE()),M12))</f>
        <v/>
      </c>
      <c r="Y12" s="31" t="n">
        <f aca="false">COUNT(V12:X12)</f>
        <v>0</v>
      </c>
      <c r="Z12" s="31" t="str">
        <f aca="false">IF(Y12=0,"",MIN(V12:X12))</f>
        <v/>
      </c>
      <c r="AA12" s="31" t="str">
        <f aca="false">IF(Y12=0,"",MAX(V12:X12))</f>
        <v/>
      </c>
      <c r="AB12" s="31" t="str">
        <f aca="false">IF(NOT(ISNUMBER(E12)),"no_weight",IF(Y12=0,IF(AND(S12="INVALID",T12="INVALID",U12="INVALID"),"invalid_for_comparison","no_evidence"),IF(AND(Y12&lt;3,Parametros!$B$50&lt;&gt;"SIM"),"missing_for_some_providers",IF(C12="qualitativo",IF(OR(Z12&lt;0,AA12&gt;1),"invalid_for_comparison",""),IF(D12="benefício",IF(AA12=0,"non_discriminative",IF(AA12&lt;0,"invalid_for_comparison","")),IF(Z12&lt;=0,"invalid_for_comparison",""))))))</f>
        <v>no_evidence</v>
      </c>
      <c r="AC12" s="36" t="str">
        <f aca="false">IF(AB12&lt;&gt;"","",IF(V12="",0,IF(C12="qualitativo",V12,IF(D12="minimização",Z12/V12,V12/AA12))))</f>
        <v/>
      </c>
      <c r="AD12" s="36" t="str">
        <f aca="false">IF(AB12&lt;&gt;"","",IF(W12="",0,IF(C12="qualitativo",W12,IF(D12="minimização",Z12/W12,W12/AA12))))</f>
        <v/>
      </c>
      <c r="AE12" s="36" t="str">
        <f aca="false">IF(AB12&lt;&gt;"","",IF(X12="",0,IF(C12="qualitativo",X12,IF(D12="minimização",Z12/X12,X12/AA12))))</f>
        <v/>
      </c>
      <c r="AF12" s="31" t="str">
        <f aca="false">IF(AB12&lt;&gt;"","",IF(MAX(AC12:AE12)-MIN(AC12:AE12)&lt;=Parametros!$B$47,"sim","não"))</f>
        <v/>
      </c>
      <c r="AG12" s="31" t="str">
        <f aca="false">IF(AB12&lt;&gt;"",AB12,IF(AND(AF12="sim",$B$23="sim"),"non_discriminative",""))</f>
        <v>no_evidence</v>
      </c>
      <c r="AH12" s="32" t="str">
        <f aca="false">IF(AG12="","sim","não")</f>
        <v>não</v>
      </c>
      <c r="AI12" s="26" t="n">
        <f aca="false">IF(ISNUMBER(AC12),AC12,0)</f>
        <v>0</v>
      </c>
      <c r="AJ12" s="26" t="n">
        <f aca="false">IF(ISNUMBER(AD12),AD12,0)</f>
        <v>0</v>
      </c>
      <c r="AK12" s="26" t="n">
        <f aca="false">IF(ISNUMBER(AE12),AE12,0)</f>
        <v>0</v>
      </c>
      <c r="AL12" s="31" t="n">
        <f aca="false">IF(AH12="sim",1,0)</f>
        <v>0</v>
      </c>
      <c r="AM12" s="31" t="str">
        <f aca="false">IF(AND(AH12="sim",Y12&lt;3),TRIM(IF(V12="","AWS ","")&amp;IF(W12="","Google ","")&amp;IF(X12="","Azure","")),"")</f>
        <v/>
      </c>
    </row>
    <row r="13" customFormat="false" ht="15" hidden="false" customHeight="true" outlineLevel="0" collapsed="false">
      <c r="A13" s="17" t="s">
        <v>151</v>
      </c>
      <c r="B13" s="31" t="s">
        <v>113</v>
      </c>
      <c r="C13" s="31" t="s">
        <v>201</v>
      </c>
      <c r="D13" s="31" t="s">
        <v>202</v>
      </c>
      <c r="E13" s="35" t="n">
        <f aca="false">Pesos_Indicadores!H13</f>
        <v>0.020979020979021</v>
      </c>
      <c r="F13" s="20" t="s">
        <v>198</v>
      </c>
      <c r="G13" s="20" t="s">
        <v>80</v>
      </c>
      <c r="H13" s="20" t="n">
        <v>2026</v>
      </c>
      <c r="I13" s="20" t="s">
        <v>198</v>
      </c>
      <c r="J13" s="20" t="s">
        <v>80</v>
      </c>
      <c r="K13" s="20" t="n">
        <v>2026</v>
      </c>
      <c r="L13" s="20" t="s">
        <v>198</v>
      </c>
      <c r="M13" s="20" t="s">
        <v>80</v>
      </c>
      <c r="N13" s="20" t="n">
        <v>2026</v>
      </c>
      <c r="O13" s="31" t="n">
        <f aca="false">IF(AND(F13="FOUND",ISNUMBER(H13)),H13,"")</f>
        <v>2026</v>
      </c>
      <c r="P13" s="31" t="n">
        <f aca="false">IF(AND(I13="FOUND",ISNUMBER(K13)),K13,"")</f>
        <v>2026</v>
      </c>
      <c r="Q13" s="31" t="n">
        <f aca="false">IF(AND(L13="FOUND",ISNUMBER(N13)),N13,"")</f>
        <v>2026</v>
      </c>
      <c r="R13" s="31" t="str">
        <f aca="false">IF(OR(Parametros!$B$46="",COUNT(O13:Q13)&lt;2),"não",IF(MAX(O13:Q13)-MIN(O13:Q13)&gt;Parametros!$B$46,"sim","não"))</f>
        <v>não</v>
      </c>
      <c r="S13" s="31" t="str">
        <f aca="false">IF(AND($R13="sim",OR(F13="FOUND",F13="PARTIAL")),"INVALID",IF(F13&lt;&gt;"FOUND",F13,IF($C13="qualitativo",IF(G13="","NOT_FOUND",IF(ISNA(MATCH(G13,Parametros!$A$35:$A$39,0)),"INVALID",IF(ISNUMBER(VLOOKUP(G13,Parametros!$A$35:$B$39,2,FALSE())),"FOUND","NOT_FOUND"))),IF(ISNUMBER(G13),"FOUND","NOT_FOUND"))))</f>
        <v>FOUND</v>
      </c>
      <c r="T13" s="31" t="str">
        <f aca="false">IF(AND($R13="sim",OR(I13="FOUND",I13="PARTIAL")),"INVALID",IF(I13&lt;&gt;"FOUND",I13,IF($C13="qualitativo",IF(J13="","NOT_FOUND",IF(ISNA(MATCH(J13,Parametros!$A$35:$A$39,0)),"INVALID",IF(ISNUMBER(VLOOKUP(J13,Parametros!$A$35:$B$39,2,FALSE())),"FOUND","NOT_FOUND"))),IF(ISNUMBER(J13),"FOUND","NOT_FOUND"))))</f>
        <v>FOUND</v>
      </c>
      <c r="U13" s="31" t="str">
        <f aca="false">IF(AND($R13="sim",OR(L13="FOUND",L13="PARTIAL")),"INVALID",IF(L13&lt;&gt;"FOUND",L13,IF($C13="qualitativo",IF(M13="","NOT_FOUND",IF(ISNA(MATCH(M13,Parametros!$A$35:$A$39,0)),"INVALID",IF(ISNUMBER(VLOOKUP(M13,Parametros!$A$35:$B$39,2,FALSE())),"FOUND","NOT_FOUND"))),IF(ISNUMBER(M13),"FOUND","NOT_FOUND"))))</f>
        <v>FOUND</v>
      </c>
      <c r="V13" s="31" t="n">
        <f aca="false">IF(S13&lt;&gt;"FOUND","",IF($C13="qualitativo",VLOOKUP(G13,Parametros!$A$35:$B$39,2,FALSE()),G13))</f>
        <v>0.75</v>
      </c>
      <c r="W13" s="31" t="n">
        <f aca="false">IF(T13&lt;&gt;"FOUND","",IF($C13="qualitativo",VLOOKUP(J13,Parametros!$A$35:$B$39,2,FALSE()),J13))</f>
        <v>0.75</v>
      </c>
      <c r="X13" s="31" t="n">
        <f aca="false">IF(U13&lt;&gt;"FOUND","",IF($C13="qualitativo",VLOOKUP(M13,Parametros!$A$35:$B$39,2,FALSE()),M13))</f>
        <v>0.75</v>
      </c>
      <c r="Y13" s="31" t="n">
        <f aca="false">COUNT(V13:X13)</f>
        <v>3</v>
      </c>
      <c r="Z13" s="31" t="n">
        <f aca="false">IF(Y13=0,"",MIN(V13:X13))</f>
        <v>0.75</v>
      </c>
      <c r="AA13" s="31" t="n">
        <f aca="false">IF(Y13=0,"",MAX(V13:X13))</f>
        <v>0.75</v>
      </c>
      <c r="AB13" s="31" t="str">
        <f aca="false">IF(NOT(ISNUMBER(E13)),"no_weight",IF(Y13=0,IF(AND(S13="INVALID",T13="INVALID",U13="INVALID"),"invalid_for_comparison","no_evidence"),IF(AND(Y13&lt;3,Parametros!$B$50&lt;&gt;"SIM"),"missing_for_some_providers",IF(C13="qualitativo",IF(OR(Z13&lt;0,AA13&gt;1),"invalid_for_comparison",""),IF(D13="benefício",IF(AA13=0,"non_discriminative",IF(AA13&lt;0,"invalid_for_comparison","")),IF(Z13&lt;=0,"invalid_for_comparison",""))))))</f>
        <v/>
      </c>
      <c r="AC13" s="36" t="n">
        <f aca="false">IF(AB13&lt;&gt;"","",IF(V13="",0,IF(C13="qualitativo",V13,IF(D13="minimização",Z13/V13,V13/AA13))))</f>
        <v>0.75</v>
      </c>
      <c r="AD13" s="36" t="n">
        <f aca="false">IF(AB13&lt;&gt;"","",IF(W13="",0,IF(C13="qualitativo",W13,IF(D13="minimização",Z13/W13,W13/AA13))))</f>
        <v>0.75</v>
      </c>
      <c r="AE13" s="36" t="n">
        <f aca="false">IF(AB13&lt;&gt;"","",IF(X13="",0,IF(C13="qualitativo",X13,IF(D13="minimização",Z13/X13,X13/AA13))))</f>
        <v>0.75</v>
      </c>
      <c r="AF13" s="31" t="str">
        <f aca="false">IF(AB13&lt;&gt;"","",IF(MAX(AC13:AE13)-MIN(AC13:AE13)&lt;=Parametros!$B$47,"sim","não"))</f>
        <v>sim</v>
      </c>
      <c r="AG13" s="31" t="str">
        <f aca="false">IF(AB13&lt;&gt;"",AB13,IF(AND(AF13="sim",$B$23="sim"),"non_discriminative",""))</f>
        <v/>
      </c>
      <c r="AH13" s="32" t="str">
        <f aca="false">IF(AG13="","sim","não")</f>
        <v>sim</v>
      </c>
      <c r="AI13" s="26" t="n">
        <f aca="false">IF(ISNUMBER(AC13),AC13,0)</f>
        <v>0.75</v>
      </c>
      <c r="AJ13" s="26" t="n">
        <f aca="false">IF(ISNUMBER(AD13),AD13,0)</f>
        <v>0.75</v>
      </c>
      <c r="AK13" s="26" t="n">
        <f aca="false">IF(ISNUMBER(AE13),AE13,0)</f>
        <v>0.75</v>
      </c>
      <c r="AL13" s="31" t="n">
        <f aca="false">IF(AH13="sim",1,0)</f>
        <v>1</v>
      </c>
      <c r="AM13" s="31" t="str">
        <f aca="false">IF(AND(AH13="sim",Y13&lt;3),TRIM(IF(V13="","AWS ","")&amp;IF(W13="","Google ","")&amp;IF(X13="","Azure","")),"")</f>
        <v/>
      </c>
    </row>
    <row r="14" customFormat="false" ht="15" hidden="false" customHeight="true" outlineLevel="0" collapsed="false">
      <c r="A14" s="17" t="s">
        <v>152</v>
      </c>
      <c r="B14" s="31" t="s">
        <v>115</v>
      </c>
      <c r="C14" s="31" t="s">
        <v>201</v>
      </c>
      <c r="D14" s="31" t="s">
        <v>202</v>
      </c>
      <c r="E14" s="35" t="n">
        <f aca="false">Pesos_Indicadores!H14</f>
        <v>0.204545454545455</v>
      </c>
      <c r="F14" s="20" t="s">
        <v>198</v>
      </c>
      <c r="G14" s="20" t="s">
        <v>80</v>
      </c>
      <c r="H14" s="20" t="n">
        <v>2026</v>
      </c>
      <c r="I14" s="20" t="s">
        <v>198</v>
      </c>
      <c r="J14" s="20" t="s">
        <v>80</v>
      </c>
      <c r="K14" s="20" t="n">
        <v>2026</v>
      </c>
      <c r="L14" s="20" t="s">
        <v>198</v>
      </c>
      <c r="M14" s="20" t="s">
        <v>81</v>
      </c>
      <c r="N14" s="20" t="n">
        <v>2026</v>
      </c>
      <c r="O14" s="31" t="n">
        <f aca="false">IF(AND(F14="FOUND",ISNUMBER(H14)),H14,"")</f>
        <v>2026</v>
      </c>
      <c r="P14" s="31" t="n">
        <f aca="false">IF(AND(I14="FOUND",ISNUMBER(K14)),K14,"")</f>
        <v>2026</v>
      </c>
      <c r="Q14" s="31" t="n">
        <f aca="false">IF(AND(L14="FOUND",ISNUMBER(N14)),N14,"")</f>
        <v>2026</v>
      </c>
      <c r="R14" s="31" t="str">
        <f aca="false">IF(OR(Parametros!$B$46="",COUNT(O14:Q14)&lt;2),"não",IF(MAX(O14:Q14)-MIN(O14:Q14)&gt;Parametros!$B$46,"sim","não"))</f>
        <v>não</v>
      </c>
      <c r="S14" s="31" t="str">
        <f aca="false">IF(AND($R14="sim",OR(F14="FOUND",F14="PARTIAL")),"INVALID",IF(F14&lt;&gt;"FOUND",F14,IF($C14="qualitativo",IF(G14="","NOT_FOUND",IF(ISNA(MATCH(G14,Parametros!$A$35:$A$39,0)),"INVALID",IF(ISNUMBER(VLOOKUP(G14,Parametros!$A$35:$B$39,2,FALSE())),"FOUND","NOT_FOUND"))),IF(ISNUMBER(G14),"FOUND","NOT_FOUND"))))</f>
        <v>FOUND</v>
      </c>
      <c r="T14" s="31" t="str">
        <f aca="false">IF(AND($R14="sim",OR(I14="FOUND",I14="PARTIAL")),"INVALID",IF(I14&lt;&gt;"FOUND",I14,IF($C14="qualitativo",IF(J14="","NOT_FOUND",IF(ISNA(MATCH(J14,Parametros!$A$35:$A$39,0)),"INVALID",IF(ISNUMBER(VLOOKUP(J14,Parametros!$A$35:$B$39,2,FALSE())),"FOUND","NOT_FOUND"))),IF(ISNUMBER(J14),"FOUND","NOT_FOUND"))))</f>
        <v>FOUND</v>
      </c>
      <c r="U14" s="31" t="str">
        <f aca="false">IF(AND($R14="sim",OR(L14="FOUND",L14="PARTIAL")),"INVALID",IF(L14&lt;&gt;"FOUND",L14,IF($C14="qualitativo",IF(M14="","NOT_FOUND",IF(ISNA(MATCH(M14,Parametros!$A$35:$A$39,0)),"INVALID",IF(ISNUMBER(VLOOKUP(M14,Parametros!$A$35:$B$39,2,FALSE())),"FOUND","NOT_FOUND"))),IF(ISNUMBER(M14),"FOUND","NOT_FOUND"))))</f>
        <v>FOUND</v>
      </c>
      <c r="V14" s="31" t="n">
        <f aca="false">IF(S14&lt;&gt;"FOUND","",IF($C14="qualitativo",VLOOKUP(G14,Parametros!$A$35:$B$39,2,FALSE()),G14))</f>
        <v>0.75</v>
      </c>
      <c r="W14" s="31" t="n">
        <f aca="false">IF(T14&lt;&gt;"FOUND","",IF($C14="qualitativo",VLOOKUP(J14,Parametros!$A$35:$B$39,2,FALSE()),J14))</f>
        <v>0.75</v>
      </c>
      <c r="X14" s="31" t="n">
        <f aca="false">IF(U14&lt;&gt;"FOUND","",IF($C14="qualitativo",VLOOKUP(M14,Parametros!$A$35:$B$39,2,FALSE()),M14))</f>
        <v>1</v>
      </c>
      <c r="Y14" s="31" t="n">
        <f aca="false">COUNT(V14:X14)</f>
        <v>3</v>
      </c>
      <c r="Z14" s="31" t="n">
        <f aca="false">IF(Y14=0,"",MIN(V14:X14))</f>
        <v>0.75</v>
      </c>
      <c r="AA14" s="31" t="n">
        <f aca="false">IF(Y14=0,"",MAX(V14:X14))</f>
        <v>1</v>
      </c>
      <c r="AB14" s="31" t="str">
        <f aca="false">IF(NOT(ISNUMBER(E14)),"no_weight",IF(Y14=0,IF(AND(S14="INVALID",T14="INVALID",U14="INVALID"),"invalid_for_comparison","no_evidence"),IF(AND(Y14&lt;3,Parametros!$B$50&lt;&gt;"SIM"),"missing_for_some_providers",IF(C14="qualitativo",IF(OR(Z14&lt;0,AA14&gt;1),"invalid_for_comparison",""),IF(D14="benefício",IF(AA14=0,"non_discriminative",IF(AA14&lt;0,"invalid_for_comparison","")),IF(Z14&lt;=0,"invalid_for_comparison",""))))))</f>
        <v/>
      </c>
      <c r="AC14" s="36" t="n">
        <f aca="false">IF(AB14&lt;&gt;"","",IF(V14="",0,IF(C14="qualitativo",V14,IF(D14="minimização",Z14/V14,V14/AA14))))</f>
        <v>0.75</v>
      </c>
      <c r="AD14" s="36" t="n">
        <f aca="false">IF(AB14&lt;&gt;"","",IF(W14="",0,IF(C14="qualitativo",W14,IF(D14="minimização",Z14/W14,W14/AA14))))</f>
        <v>0.75</v>
      </c>
      <c r="AE14" s="36" t="n">
        <f aca="false">IF(AB14&lt;&gt;"","",IF(X14="",0,IF(C14="qualitativo",X14,IF(D14="minimização",Z14/X14,X14/AA14))))</f>
        <v>1</v>
      </c>
      <c r="AF14" s="31" t="str">
        <f aca="false">IF(AB14&lt;&gt;"","",IF(MAX(AC14:AE14)-MIN(AC14:AE14)&lt;=Parametros!$B$47,"sim","não"))</f>
        <v>não</v>
      </c>
      <c r="AG14" s="31" t="str">
        <f aca="false">IF(AB14&lt;&gt;"",AB14,IF(AND(AF14="sim",$B$23="sim"),"non_discriminative",""))</f>
        <v/>
      </c>
      <c r="AH14" s="32" t="str">
        <f aca="false">IF(AG14="","sim","não")</f>
        <v>sim</v>
      </c>
      <c r="AI14" s="26" t="n">
        <f aca="false">IF(ISNUMBER(AC14),AC14,0)</f>
        <v>0.75</v>
      </c>
      <c r="AJ14" s="26" t="n">
        <f aca="false">IF(ISNUMBER(AD14),AD14,0)</f>
        <v>0.75</v>
      </c>
      <c r="AK14" s="26" t="n">
        <f aca="false">IF(ISNUMBER(AE14),AE14,0)</f>
        <v>1</v>
      </c>
      <c r="AL14" s="31" t="n">
        <f aca="false">IF(AH14="sim",1,0)</f>
        <v>1</v>
      </c>
      <c r="AM14" s="31" t="str">
        <f aca="false">IF(AND(AH14="sim",Y14&lt;3),TRIM(IF(V14="","AWS ","")&amp;IF(W14="","Google ","")&amp;IF(X14="","Azure","")),"")</f>
        <v/>
      </c>
    </row>
    <row r="15" customFormat="false" ht="15" hidden="false" customHeight="true" outlineLevel="0" collapsed="false">
      <c r="A15" s="17" t="s">
        <v>153</v>
      </c>
      <c r="B15" s="31" t="s">
        <v>115</v>
      </c>
      <c r="C15" s="31" t="s">
        <v>201</v>
      </c>
      <c r="D15" s="31" t="s">
        <v>202</v>
      </c>
      <c r="E15" s="35" t="n">
        <f aca="false">Pesos_Indicadores!H15</f>
        <v>0.204545454545455</v>
      </c>
      <c r="F15" s="20" t="s">
        <v>198</v>
      </c>
      <c r="G15" s="20" t="s">
        <v>80</v>
      </c>
      <c r="H15" s="20" t="n">
        <v>2026</v>
      </c>
      <c r="I15" s="20" t="s">
        <v>198</v>
      </c>
      <c r="J15" s="20" t="s">
        <v>80</v>
      </c>
      <c r="K15" s="20" t="n">
        <v>2026</v>
      </c>
      <c r="L15" s="20" t="s">
        <v>198</v>
      </c>
      <c r="M15" s="20" t="s">
        <v>80</v>
      </c>
      <c r="N15" s="20" t="n">
        <v>2026</v>
      </c>
      <c r="O15" s="31" t="n">
        <f aca="false">IF(AND(F15="FOUND",ISNUMBER(H15)),H15,"")</f>
        <v>2026</v>
      </c>
      <c r="P15" s="31" t="n">
        <f aca="false">IF(AND(I15="FOUND",ISNUMBER(K15)),K15,"")</f>
        <v>2026</v>
      </c>
      <c r="Q15" s="31" t="n">
        <f aca="false">IF(AND(L15="FOUND",ISNUMBER(N15)),N15,"")</f>
        <v>2026</v>
      </c>
      <c r="R15" s="31" t="str">
        <f aca="false">IF(OR(Parametros!$B$46="",COUNT(O15:Q15)&lt;2),"não",IF(MAX(O15:Q15)-MIN(O15:Q15)&gt;Parametros!$B$46,"sim","não"))</f>
        <v>não</v>
      </c>
      <c r="S15" s="31" t="str">
        <f aca="false">IF(AND($R15="sim",OR(F15="FOUND",F15="PARTIAL")),"INVALID",IF(F15&lt;&gt;"FOUND",F15,IF($C15="qualitativo",IF(G15="","NOT_FOUND",IF(ISNA(MATCH(G15,Parametros!$A$35:$A$39,0)),"INVALID",IF(ISNUMBER(VLOOKUP(G15,Parametros!$A$35:$B$39,2,FALSE())),"FOUND","NOT_FOUND"))),IF(ISNUMBER(G15),"FOUND","NOT_FOUND"))))</f>
        <v>FOUND</v>
      </c>
      <c r="T15" s="31" t="str">
        <f aca="false">IF(AND($R15="sim",OR(I15="FOUND",I15="PARTIAL")),"INVALID",IF(I15&lt;&gt;"FOUND",I15,IF($C15="qualitativo",IF(J15="","NOT_FOUND",IF(ISNA(MATCH(J15,Parametros!$A$35:$A$39,0)),"INVALID",IF(ISNUMBER(VLOOKUP(J15,Parametros!$A$35:$B$39,2,FALSE())),"FOUND","NOT_FOUND"))),IF(ISNUMBER(J15),"FOUND","NOT_FOUND"))))</f>
        <v>FOUND</v>
      </c>
      <c r="U15" s="31" t="str">
        <f aca="false">IF(AND($R15="sim",OR(L15="FOUND",L15="PARTIAL")),"INVALID",IF(L15&lt;&gt;"FOUND",L15,IF($C15="qualitativo",IF(M15="","NOT_FOUND",IF(ISNA(MATCH(M15,Parametros!$A$35:$A$39,0)),"INVALID",IF(ISNUMBER(VLOOKUP(M15,Parametros!$A$35:$B$39,2,FALSE())),"FOUND","NOT_FOUND"))),IF(ISNUMBER(M15),"FOUND","NOT_FOUND"))))</f>
        <v>FOUND</v>
      </c>
      <c r="V15" s="31" t="n">
        <f aca="false">IF(S15&lt;&gt;"FOUND","",IF($C15="qualitativo",VLOOKUP(G15,Parametros!$A$35:$B$39,2,FALSE()),G15))</f>
        <v>0.75</v>
      </c>
      <c r="W15" s="31" t="n">
        <f aca="false">IF(T15&lt;&gt;"FOUND","",IF($C15="qualitativo",VLOOKUP(J15,Parametros!$A$35:$B$39,2,FALSE()),J15))</f>
        <v>0.75</v>
      </c>
      <c r="X15" s="31" t="n">
        <f aca="false">IF(U15&lt;&gt;"FOUND","",IF($C15="qualitativo",VLOOKUP(M15,Parametros!$A$35:$B$39,2,FALSE()),M15))</f>
        <v>0.75</v>
      </c>
      <c r="Y15" s="31" t="n">
        <f aca="false">COUNT(V15:X15)</f>
        <v>3</v>
      </c>
      <c r="Z15" s="31" t="n">
        <f aca="false">IF(Y15=0,"",MIN(V15:X15))</f>
        <v>0.75</v>
      </c>
      <c r="AA15" s="31" t="n">
        <f aca="false">IF(Y15=0,"",MAX(V15:X15))</f>
        <v>0.75</v>
      </c>
      <c r="AB15" s="31" t="str">
        <f aca="false">IF(NOT(ISNUMBER(E15)),"no_weight",IF(Y15=0,IF(AND(S15="INVALID",T15="INVALID",U15="INVALID"),"invalid_for_comparison","no_evidence"),IF(AND(Y15&lt;3,Parametros!$B$50&lt;&gt;"SIM"),"missing_for_some_providers",IF(C15="qualitativo",IF(OR(Z15&lt;0,AA15&gt;1),"invalid_for_comparison",""),IF(D15="benefício",IF(AA15=0,"non_discriminative",IF(AA15&lt;0,"invalid_for_comparison","")),IF(Z15&lt;=0,"invalid_for_comparison",""))))))</f>
        <v/>
      </c>
      <c r="AC15" s="36" t="n">
        <f aca="false">IF(AB15&lt;&gt;"","",IF(V15="",0,IF(C15="qualitativo",V15,IF(D15="minimização",Z15/V15,V15/AA15))))</f>
        <v>0.75</v>
      </c>
      <c r="AD15" s="36" t="n">
        <f aca="false">IF(AB15&lt;&gt;"","",IF(W15="",0,IF(C15="qualitativo",W15,IF(D15="minimização",Z15/W15,W15/AA15))))</f>
        <v>0.75</v>
      </c>
      <c r="AE15" s="36" t="n">
        <f aca="false">IF(AB15&lt;&gt;"","",IF(X15="",0,IF(C15="qualitativo",X15,IF(D15="minimização",Z15/X15,X15/AA15))))</f>
        <v>0.75</v>
      </c>
      <c r="AF15" s="31" t="str">
        <f aca="false">IF(AB15&lt;&gt;"","",IF(MAX(AC15:AE15)-MIN(AC15:AE15)&lt;=Parametros!$B$47,"sim","não"))</f>
        <v>sim</v>
      </c>
      <c r="AG15" s="31" t="str">
        <f aca="false">IF(AB15&lt;&gt;"",AB15,IF(AND(AF15="sim",$B$23="sim"),"non_discriminative",""))</f>
        <v/>
      </c>
      <c r="AH15" s="32" t="str">
        <f aca="false">IF(AG15="","sim","não")</f>
        <v>sim</v>
      </c>
      <c r="AI15" s="26" t="n">
        <f aca="false">IF(ISNUMBER(AC15),AC15,0)</f>
        <v>0.75</v>
      </c>
      <c r="AJ15" s="26" t="n">
        <f aca="false">IF(ISNUMBER(AD15),AD15,0)</f>
        <v>0.75</v>
      </c>
      <c r="AK15" s="26" t="n">
        <f aca="false">IF(ISNUMBER(AE15),AE15,0)</f>
        <v>0.75</v>
      </c>
      <c r="AL15" s="31" t="n">
        <f aca="false">IF(AH15="sim",1,0)</f>
        <v>1</v>
      </c>
      <c r="AM15" s="31" t="str">
        <f aca="false">IF(AND(AH15="sim",Y15&lt;3),TRIM(IF(V15="","AWS ","")&amp;IF(W15="","Google ","")&amp;IF(X15="","Azure","")),"")</f>
        <v/>
      </c>
    </row>
    <row r="16" customFormat="false" ht="15" hidden="false" customHeight="true" outlineLevel="0" collapsed="false">
      <c r="A16" s="17" t="s">
        <v>154</v>
      </c>
      <c r="B16" s="31" t="s">
        <v>115</v>
      </c>
      <c r="C16" s="31" t="s">
        <v>201</v>
      </c>
      <c r="D16" s="31" t="s">
        <v>202</v>
      </c>
      <c r="E16" s="35" t="n">
        <f aca="false">Pesos_Indicadores!H16</f>
        <v>0.204545454545455</v>
      </c>
      <c r="F16" s="20" t="s">
        <v>198</v>
      </c>
      <c r="G16" s="20" t="s">
        <v>80</v>
      </c>
      <c r="H16" s="20" t="n">
        <v>2026</v>
      </c>
      <c r="I16" s="20" t="s">
        <v>198</v>
      </c>
      <c r="J16" s="20" t="s">
        <v>80</v>
      </c>
      <c r="K16" s="20" t="n">
        <v>2026</v>
      </c>
      <c r="L16" s="20" t="s">
        <v>198</v>
      </c>
      <c r="M16" s="20" t="s">
        <v>80</v>
      </c>
      <c r="N16" s="20" t="n">
        <v>2026</v>
      </c>
      <c r="O16" s="31" t="n">
        <f aca="false">IF(AND(F16="FOUND",ISNUMBER(H16)),H16,"")</f>
        <v>2026</v>
      </c>
      <c r="P16" s="31" t="n">
        <f aca="false">IF(AND(I16="FOUND",ISNUMBER(K16)),K16,"")</f>
        <v>2026</v>
      </c>
      <c r="Q16" s="31" t="n">
        <f aca="false">IF(AND(L16="FOUND",ISNUMBER(N16)),N16,"")</f>
        <v>2026</v>
      </c>
      <c r="R16" s="31" t="str">
        <f aca="false">IF(OR(Parametros!$B$46="",COUNT(O16:Q16)&lt;2),"não",IF(MAX(O16:Q16)-MIN(O16:Q16)&gt;Parametros!$B$46,"sim","não"))</f>
        <v>não</v>
      </c>
      <c r="S16" s="31" t="str">
        <f aca="false">IF(AND($R16="sim",OR(F16="FOUND",F16="PARTIAL")),"INVALID",IF(F16&lt;&gt;"FOUND",F16,IF($C16="qualitativo",IF(G16="","NOT_FOUND",IF(ISNA(MATCH(G16,Parametros!$A$35:$A$39,0)),"INVALID",IF(ISNUMBER(VLOOKUP(G16,Parametros!$A$35:$B$39,2,FALSE())),"FOUND","NOT_FOUND"))),IF(ISNUMBER(G16),"FOUND","NOT_FOUND"))))</f>
        <v>FOUND</v>
      </c>
      <c r="T16" s="31" t="str">
        <f aca="false">IF(AND($R16="sim",OR(I16="FOUND",I16="PARTIAL")),"INVALID",IF(I16&lt;&gt;"FOUND",I16,IF($C16="qualitativo",IF(J16="","NOT_FOUND",IF(ISNA(MATCH(J16,Parametros!$A$35:$A$39,0)),"INVALID",IF(ISNUMBER(VLOOKUP(J16,Parametros!$A$35:$B$39,2,FALSE())),"FOUND","NOT_FOUND"))),IF(ISNUMBER(J16),"FOUND","NOT_FOUND"))))</f>
        <v>FOUND</v>
      </c>
      <c r="U16" s="31" t="str">
        <f aca="false">IF(AND($R16="sim",OR(L16="FOUND",L16="PARTIAL")),"INVALID",IF(L16&lt;&gt;"FOUND",L16,IF($C16="qualitativo",IF(M16="","NOT_FOUND",IF(ISNA(MATCH(M16,Parametros!$A$35:$A$39,0)),"INVALID",IF(ISNUMBER(VLOOKUP(M16,Parametros!$A$35:$B$39,2,FALSE())),"FOUND","NOT_FOUND"))),IF(ISNUMBER(M16),"FOUND","NOT_FOUND"))))</f>
        <v>FOUND</v>
      </c>
      <c r="V16" s="31" t="n">
        <f aca="false">IF(S16&lt;&gt;"FOUND","",IF($C16="qualitativo",VLOOKUP(G16,Parametros!$A$35:$B$39,2,FALSE()),G16))</f>
        <v>0.75</v>
      </c>
      <c r="W16" s="31" t="n">
        <f aca="false">IF(T16&lt;&gt;"FOUND","",IF($C16="qualitativo",VLOOKUP(J16,Parametros!$A$35:$B$39,2,FALSE()),J16))</f>
        <v>0.75</v>
      </c>
      <c r="X16" s="31" t="n">
        <f aca="false">IF(U16&lt;&gt;"FOUND","",IF($C16="qualitativo",VLOOKUP(M16,Parametros!$A$35:$B$39,2,FALSE()),M16))</f>
        <v>0.75</v>
      </c>
      <c r="Y16" s="31" t="n">
        <f aca="false">COUNT(V16:X16)</f>
        <v>3</v>
      </c>
      <c r="Z16" s="31" t="n">
        <f aca="false">IF(Y16=0,"",MIN(V16:X16))</f>
        <v>0.75</v>
      </c>
      <c r="AA16" s="31" t="n">
        <f aca="false">IF(Y16=0,"",MAX(V16:X16))</f>
        <v>0.75</v>
      </c>
      <c r="AB16" s="31" t="str">
        <f aca="false">IF(NOT(ISNUMBER(E16)),"no_weight",IF(Y16=0,IF(AND(S16="INVALID",T16="INVALID",U16="INVALID"),"invalid_for_comparison","no_evidence"),IF(AND(Y16&lt;3,Parametros!$B$50&lt;&gt;"SIM"),"missing_for_some_providers",IF(C16="qualitativo",IF(OR(Z16&lt;0,AA16&gt;1),"invalid_for_comparison",""),IF(D16="benefício",IF(AA16=0,"non_discriminative",IF(AA16&lt;0,"invalid_for_comparison","")),IF(Z16&lt;=0,"invalid_for_comparison",""))))))</f>
        <v/>
      </c>
      <c r="AC16" s="36" t="n">
        <f aca="false">IF(AB16&lt;&gt;"","",IF(V16="",0,IF(C16="qualitativo",V16,IF(D16="minimização",Z16/V16,V16/AA16))))</f>
        <v>0.75</v>
      </c>
      <c r="AD16" s="36" t="n">
        <f aca="false">IF(AB16&lt;&gt;"","",IF(W16="",0,IF(C16="qualitativo",W16,IF(D16="minimização",Z16/W16,W16/AA16))))</f>
        <v>0.75</v>
      </c>
      <c r="AE16" s="36" t="n">
        <f aca="false">IF(AB16&lt;&gt;"","",IF(X16="",0,IF(C16="qualitativo",X16,IF(D16="minimização",Z16/X16,X16/AA16))))</f>
        <v>0.75</v>
      </c>
      <c r="AF16" s="31" t="str">
        <f aca="false">IF(AB16&lt;&gt;"","",IF(MAX(AC16:AE16)-MIN(AC16:AE16)&lt;=Parametros!$B$47,"sim","não"))</f>
        <v>sim</v>
      </c>
      <c r="AG16" s="31" t="str">
        <f aca="false">IF(AB16&lt;&gt;"",AB16,IF(AND(AF16="sim",$B$23="sim"),"non_discriminative",""))</f>
        <v/>
      </c>
      <c r="AH16" s="32" t="str">
        <f aca="false">IF(AG16="","sim","não")</f>
        <v>sim</v>
      </c>
      <c r="AI16" s="26" t="n">
        <f aca="false">IF(ISNUMBER(AC16),AC16,0)</f>
        <v>0.75</v>
      </c>
      <c r="AJ16" s="26" t="n">
        <f aca="false">IF(ISNUMBER(AD16),AD16,0)</f>
        <v>0.75</v>
      </c>
      <c r="AK16" s="26" t="n">
        <f aca="false">IF(ISNUMBER(AE16),AE16,0)</f>
        <v>0.75</v>
      </c>
      <c r="AL16" s="31" t="n">
        <f aca="false">IF(AH16="sim",1,0)</f>
        <v>1</v>
      </c>
      <c r="AM16" s="31" t="str">
        <f aca="false">IF(AND(AH16="sim",Y16&lt;3),TRIM(IF(V16="","AWS ","")&amp;IF(W16="","Google ","")&amp;IF(X16="","Azure","")),"")</f>
        <v/>
      </c>
    </row>
    <row r="17" customFormat="false" ht="15" hidden="false" customHeight="true" outlineLevel="0" collapsed="false">
      <c r="A17" s="17" t="s">
        <v>155</v>
      </c>
      <c r="B17" s="31" t="s">
        <v>115</v>
      </c>
      <c r="C17" s="31" t="s">
        <v>201</v>
      </c>
      <c r="D17" s="31" t="s">
        <v>202</v>
      </c>
      <c r="E17" s="35" t="n">
        <f aca="false">Pesos_Indicadores!H17</f>
        <v>0.204545454545455</v>
      </c>
      <c r="F17" s="20" t="s">
        <v>198</v>
      </c>
      <c r="G17" s="20" t="s">
        <v>80</v>
      </c>
      <c r="H17" s="20" t="n">
        <v>2026</v>
      </c>
      <c r="I17" s="20" t="s">
        <v>198</v>
      </c>
      <c r="J17" s="20" t="s">
        <v>80</v>
      </c>
      <c r="K17" s="20" t="n">
        <v>2026</v>
      </c>
      <c r="L17" s="20" t="s">
        <v>198</v>
      </c>
      <c r="M17" s="20" t="s">
        <v>80</v>
      </c>
      <c r="N17" s="20" t="n">
        <v>2026</v>
      </c>
      <c r="O17" s="31" t="n">
        <f aca="false">IF(AND(F17="FOUND",ISNUMBER(H17)),H17,"")</f>
        <v>2026</v>
      </c>
      <c r="P17" s="31" t="n">
        <f aca="false">IF(AND(I17="FOUND",ISNUMBER(K17)),K17,"")</f>
        <v>2026</v>
      </c>
      <c r="Q17" s="31" t="n">
        <f aca="false">IF(AND(L17="FOUND",ISNUMBER(N17)),N17,"")</f>
        <v>2026</v>
      </c>
      <c r="R17" s="31" t="str">
        <f aca="false">IF(OR(Parametros!$B$46="",COUNT(O17:Q17)&lt;2),"não",IF(MAX(O17:Q17)-MIN(O17:Q17)&gt;Parametros!$B$46,"sim","não"))</f>
        <v>não</v>
      </c>
      <c r="S17" s="31" t="str">
        <f aca="false">IF(AND($R17="sim",OR(F17="FOUND",F17="PARTIAL")),"INVALID",IF(F17&lt;&gt;"FOUND",F17,IF($C17="qualitativo",IF(G17="","NOT_FOUND",IF(ISNA(MATCH(G17,Parametros!$A$35:$A$39,0)),"INVALID",IF(ISNUMBER(VLOOKUP(G17,Parametros!$A$35:$B$39,2,FALSE())),"FOUND","NOT_FOUND"))),IF(ISNUMBER(G17),"FOUND","NOT_FOUND"))))</f>
        <v>FOUND</v>
      </c>
      <c r="T17" s="31" t="str">
        <f aca="false">IF(AND($R17="sim",OR(I17="FOUND",I17="PARTIAL")),"INVALID",IF(I17&lt;&gt;"FOUND",I17,IF($C17="qualitativo",IF(J17="","NOT_FOUND",IF(ISNA(MATCH(J17,Parametros!$A$35:$A$39,0)),"INVALID",IF(ISNUMBER(VLOOKUP(J17,Parametros!$A$35:$B$39,2,FALSE())),"FOUND","NOT_FOUND"))),IF(ISNUMBER(J17),"FOUND","NOT_FOUND"))))</f>
        <v>FOUND</v>
      </c>
      <c r="U17" s="31" t="str">
        <f aca="false">IF(AND($R17="sim",OR(L17="FOUND",L17="PARTIAL")),"INVALID",IF(L17&lt;&gt;"FOUND",L17,IF($C17="qualitativo",IF(M17="","NOT_FOUND",IF(ISNA(MATCH(M17,Parametros!$A$35:$A$39,0)),"INVALID",IF(ISNUMBER(VLOOKUP(M17,Parametros!$A$35:$B$39,2,FALSE())),"FOUND","NOT_FOUND"))),IF(ISNUMBER(M17),"FOUND","NOT_FOUND"))))</f>
        <v>FOUND</v>
      </c>
      <c r="V17" s="31" t="n">
        <f aca="false">IF(S17&lt;&gt;"FOUND","",IF($C17="qualitativo",VLOOKUP(G17,Parametros!$A$35:$B$39,2,FALSE()),G17))</f>
        <v>0.75</v>
      </c>
      <c r="W17" s="31" t="n">
        <f aca="false">IF(T17&lt;&gt;"FOUND","",IF($C17="qualitativo",VLOOKUP(J17,Parametros!$A$35:$B$39,2,FALSE()),J17))</f>
        <v>0.75</v>
      </c>
      <c r="X17" s="31" t="n">
        <f aca="false">IF(U17&lt;&gt;"FOUND","",IF($C17="qualitativo",VLOOKUP(M17,Parametros!$A$35:$B$39,2,FALSE()),M17))</f>
        <v>0.75</v>
      </c>
      <c r="Y17" s="31" t="n">
        <f aca="false">COUNT(V17:X17)</f>
        <v>3</v>
      </c>
      <c r="Z17" s="31" t="n">
        <f aca="false">IF(Y17=0,"",MIN(V17:X17))</f>
        <v>0.75</v>
      </c>
      <c r="AA17" s="31" t="n">
        <f aca="false">IF(Y17=0,"",MAX(V17:X17))</f>
        <v>0.75</v>
      </c>
      <c r="AB17" s="31" t="str">
        <f aca="false">IF(NOT(ISNUMBER(E17)),"no_weight",IF(Y17=0,IF(AND(S17="INVALID",T17="INVALID",U17="INVALID"),"invalid_for_comparison","no_evidence"),IF(AND(Y17&lt;3,Parametros!$B$50&lt;&gt;"SIM"),"missing_for_some_providers",IF(C17="qualitativo",IF(OR(Z17&lt;0,AA17&gt;1),"invalid_for_comparison",""),IF(D17="benefício",IF(AA17=0,"non_discriminative",IF(AA17&lt;0,"invalid_for_comparison","")),IF(Z17&lt;=0,"invalid_for_comparison",""))))))</f>
        <v/>
      </c>
      <c r="AC17" s="36" t="n">
        <f aca="false">IF(AB17&lt;&gt;"","",IF(V17="",0,IF(C17="qualitativo",V17,IF(D17="minimização",Z17/V17,V17/AA17))))</f>
        <v>0.75</v>
      </c>
      <c r="AD17" s="36" t="n">
        <f aca="false">IF(AB17&lt;&gt;"","",IF(W17="",0,IF(C17="qualitativo",W17,IF(D17="minimização",Z17/W17,W17/AA17))))</f>
        <v>0.75</v>
      </c>
      <c r="AE17" s="36" t="n">
        <f aca="false">IF(AB17&lt;&gt;"","",IF(X17="",0,IF(C17="qualitativo",X17,IF(D17="minimização",Z17/X17,X17/AA17))))</f>
        <v>0.75</v>
      </c>
      <c r="AF17" s="31" t="str">
        <f aca="false">IF(AB17&lt;&gt;"","",IF(MAX(AC17:AE17)-MIN(AC17:AE17)&lt;=Parametros!$B$47,"sim","não"))</f>
        <v>sim</v>
      </c>
      <c r="AG17" s="31" t="str">
        <f aca="false">IF(AB17&lt;&gt;"",AB17,IF(AND(AF17="sim",$B$23="sim"),"non_discriminative",""))</f>
        <v/>
      </c>
      <c r="AH17" s="32" t="str">
        <f aca="false">IF(AG17="","sim","não")</f>
        <v>sim</v>
      </c>
      <c r="AI17" s="26" t="n">
        <f aca="false">IF(ISNUMBER(AC17),AC17,0)</f>
        <v>0.75</v>
      </c>
      <c r="AJ17" s="26" t="n">
        <f aca="false">IF(ISNUMBER(AD17),AD17,0)</f>
        <v>0.75</v>
      </c>
      <c r="AK17" s="26" t="n">
        <f aca="false">IF(ISNUMBER(AE17),AE17,0)</f>
        <v>0.75</v>
      </c>
      <c r="AL17" s="31" t="n">
        <f aca="false">IF(AH17="sim",1,0)</f>
        <v>1</v>
      </c>
      <c r="AM17" s="31" t="str">
        <f aca="false">IF(AND(AH17="sim",Y17&lt;3),TRIM(IF(V17="","AWS ","")&amp;IF(W17="","Google ","")&amp;IF(X17="","Azure","")),"")</f>
        <v/>
      </c>
    </row>
    <row r="18" customFormat="false" ht="15" hidden="false" customHeight="true" outlineLevel="0" collapsed="false">
      <c r="A18" s="19" t="s">
        <v>204</v>
      </c>
    </row>
    <row r="20" customFormat="false" ht="15" hidden="false" customHeight="true" outlineLevel="0" collapsed="false">
      <c r="A20" s="3" t="s">
        <v>205</v>
      </c>
    </row>
    <row r="21" customFormat="false" ht="15" hidden="false" customHeight="true" outlineLevel="0" collapsed="false">
      <c r="A21" s="17" t="s">
        <v>206</v>
      </c>
      <c r="B21" s="31" t="n">
        <f aca="false">COUNTIF($AF$5:$AF$17,"sim")+COUNTIF($AF$5:$AF$17,"não")</f>
        <v>12</v>
      </c>
    </row>
    <row r="22" customFormat="false" ht="15" hidden="false" customHeight="true" outlineLevel="0" collapsed="false">
      <c r="A22" s="17" t="s">
        <v>207</v>
      </c>
      <c r="B22" s="31" t="n">
        <f aca="false">COUNTIF($AF$5:$AF$17,"sim")</f>
        <v>7</v>
      </c>
    </row>
    <row r="23" customFormat="false" ht="15" hidden="false" customHeight="true" outlineLevel="0" collapsed="false">
      <c r="A23" s="17" t="s">
        <v>208</v>
      </c>
      <c r="B23" s="21" t="str">
        <f aca="false">IF(AND(Parametros!$B$45="SIM",B22&lt;B21),"sim","não")</f>
        <v>não</v>
      </c>
      <c r="C23" s="19" t="s">
        <v>209</v>
      </c>
    </row>
    <row r="24" customFormat="false" ht="15" hidden="false" customHeight="true" outlineLevel="0" collapsed="false">
      <c r="A24" s="17" t="s">
        <v>210</v>
      </c>
      <c r="B24" s="37" t="n">
        <f aca="false">COUNTIF($AH$5:$AH$17,"sim")</f>
        <v>12</v>
      </c>
    </row>
    <row r="25" customFormat="false" ht="15" hidden="false" customHeight="true" outlineLevel="0" collapsed="false">
      <c r="A25" s="17" t="s">
        <v>211</v>
      </c>
      <c r="B25" s="31" t="n">
        <f aca="false">COUNTIF($AH$5:$AH$17,"não")</f>
        <v>1</v>
      </c>
    </row>
    <row r="26" customFormat="false" ht="15" hidden="false" customHeight="true" outlineLevel="0" collapsed="false">
      <c r="A26" s="17" t="s">
        <v>212</v>
      </c>
      <c r="B26" s="38" t="n">
        <f aca="false">B24/(B24+B25)</f>
        <v>0.923076923076923</v>
      </c>
    </row>
    <row r="27" customFormat="false" ht="15" hidden="false" customHeight="true" outlineLevel="0" collapsed="false">
      <c r="A27" s="17" t="s">
        <v>213</v>
      </c>
      <c r="B27" s="31" t="n">
        <f aca="false">COUNTIF($AM$5:$AM$17,"?*")</f>
        <v>1</v>
      </c>
    </row>
    <row r="28" customFormat="false" ht="15" hidden="false" customHeight="true" outlineLevel="0" collapsed="false">
      <c r="A28" s="3" t="s">
        <v>214</v>
      </c>
    </row>
    <row r="29" customFormat="false" ht="15" hidden="false" customHeight="true" outlineLevel="0" collapsed="false">
      <c r="A29" s="17" t="s">
        <v>215</v>
      </c>
      <c r="B29" s="39" t="s">
        <v>216</v>
      </c>
    </row>
    <row r="30" customFormat="false" ht="15" hidden="false" customHeight="true" outlineLevel="0" collapsed="false">
      <c r="A30" s="17" t="s">
        <v>217</v>
      </c>
      <c r="B30" s="39" t="s">
        <v>218</v>
      </c>
    </row>
    <row r="31" customFormat="false" ht="15" hidden="false" customHeight="true" outlineLevel="0" collapsed="false">
      <c r="A31" s="17" t="s">
        <v>219</v>
      </c>
      <c r="B31" s="39" t="s">
        <v>220</v>
      </c>
    </row>
    <row r="32" customFormat="false" ht="15" hidden="false" customHeight="true" outlineLevel="0" collapsed="false">
      <c r="A32" s="17" t="s">
        <v>221</v>
      </c>
      <c r="B32" s="39" t="s">
        <v>222</v>
      </c>
    </row>
    <row r="33" customFormat="false" ht="15" hidden="false" customHeight="true" outlineLevel="0" collapsed="false">
      <c r="A33" s="17" t="s">
        <v>223</v>
      </c>
      <c r="B33" s="39" t="s">
        <v>224</v>
      </c>
    </row>
  </sheetData>
  <mergeCells count="3">
    <mergeCell ref="F3:H3"/>
    <mergeCell ref="I3:K3"/>
    <mergeCell ref="L3:N3"/>
  </mergeCells>
  <conditionalFormatting sqref="AC5:AE17">
    <cfRule type="expression" priority="2" aboveAverage="0" equalAverage="0" bottom="0" percent="0" rank="0" text="" dxfId="0">
      <formula>AND($AB5="",V5="")</formula>
    </cfRule>
  </conditionalFormatting>
  <dataValidations count="1">
    <dataValidation allowBlank="true" errorStyle="stop" operator="between" showDropDown="false" showErrorMessage="false" showInputMessage="false" sqref="F5:F17 I5:I17 L5:L17" type="list">
      <formula1>"FOUND,PARTIAL,NOT_FOUND,INVALID"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4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13"/>
  </cols>
  <sheetData>
    <row r="1" customFormat="false" ht="15.75" hidden="false" customHeight="true" outlineLevel="0" collapsed="false">
      <c r="A1" s="14" t="s">
        <v>225</v>
      </c>
    </row>
    <row r="2" customFormat="false" ht="15" hidden="false" customHeight="true" outlineLevel="0" collapsed="false">
      <c r="A2" s="15" t="s">
        <v>226</v>
      </c>
    </row>
    <row r="4" customFormat="false" ht="21.75" hidden="false" customHeight="true" outlineLevel="0" collapsed="false">
      <c r="A4" s="16" t="s">
        <v>135</v>
      </c>
      <c r="B4" s="16" t="s">
        <v>125</v>
      </c>
      <c r="C4" s="16" t="s">
        <v>141</v>
      </c>
      <c r="D4" s="16" t="s">
        <v>190</v>
      </c>
      <c r="E4" s="16" t="s">
        <v>227</v>
      </c>
    </row>
    <row r="5" customFormat="false" ht="15" hidden="false" customHeight="true" outlineLevel="0" collapsed="false">
      <c r="A5" s="40" t="str">
        <f aca="false">Pesos_Indicadores!A5</f>
        <v>Eficiência energética dos data centers (PUE)</v>
      </c>
      <c r="B5" s="21" t="str">
        <f aca="false">Pesos_Indicadores!B5</f>
        <v>Sustentabilidade</v>
      </c>
      <c r="C5" s="41" t="n">
        <f aca="false">Pesos_Indicadores!H5</f>
        <v>0.0170454545454545</v>
      </c>
      <c r="D5" s="21" t="str">
        <f aca="false">Normalizacao!AH5</f>
        <v>sim</v>
      </c>
      <c r="E5" s="42" t="n">
        <f aca="false">IF(AND(D5="sim",ISNUMBER(C5),$C$19&gt;0),C5/$C$19,"")</f>
        <v>0.0174107142857143</v>
      </c>
    </row>
    <row r="6" customFormat="false" ht="15" hidden="false" customHeight="true" outlineLevel="0" collapsed="false">
      <c r="A6" s="40" t="str">
        <f aca="false">Pesos_Indicadores!A6</f>
        <v>Utilização de fontes de energia renovável (%)</v>
      </c>
      <c r="B6" s="21" t="str">
        <f aca="false">Pesos_Indicadores!B6</f>
        <v>Sustentabilidade</v>
      </c>
      <c r="C6" s="41" t="n">
        <f aca="false">Pesos_Indicadores!H6</f>
        <v>0.0227272727272727</v>
      </c>
      <c r="D6" s="21" t="str">
        <f aca="false">Normalizacao!AH6</f>
        <v>sim</v>
      </c>
      <c r="E6" s="42" t="n">
        <f aca="false">IF(AND(D6="sim",ISNUMBER(C6),$C$19&gt;0),C6/$C$19,"")</f>
        <v>0.0232142857142857</v>
      </c>
    </row>
    <row r="7" customFormat="false" ht="15" hidden="false" customHeight="true" outlineLevel="0" collapsed="false">
      <c r="A7" s="40" t="str">
        <f aca="false">Pesos_Indicadores!A7</f>
        <v>Redução de emissões de gases de efeito estufa</v>
      </c>
      <c r="B7" s="21" t="str">
        <f aca="false">Pesos_Indicadores!B7</f>
        <v>Sustentabilidade</v>
      </c>
      <c r="C7" s="41" t="n">
        <f aca="false">Pesos_Indicadores!H7</f>
        <v>0.0170454545454545</v>
      </c>
      <c r="D7" s="21" t="str">
        <f aca="false">Normalizacao!AH7</f>
        <v>sim</v>
      </c>
      <c r="E7" s="42" t="n">
        <f aca="false">IF(AND(D7="sim",ISNUMBER(C7),$C$19&gt;0),C7/$C$19,"")</f>
        <v>0.0174107142857143</v>
      </c>
    </row>
    <row r="8" customFormat="false" ht="15" hidden="false" customHeight="true" outlineLevel="0" collapsed="false">
      <c r="A8" s="40" t="str">
        <f aca="false">Pesos_Indicadores!A8</f>
        <v>Gestão de resíduos eletrônicos (% de desvio de aterro)</v>
      </c>
      <c r="B8" s="21" t="str">
        <f aca="false">Pesos_Indicadores!B8</f>
        <v>Sustentabilidade</v>
      </c>
      <c r="C8" s="41" t="n">
        <f aca="false">Pesos_Indicadores!H8</f>
        <v>0.0170454545454545</v>
      </c>
      <c r="D8" s="21" t="str">
        <f aca="false">Normalizacao!AH8</f>
        <v>sim</v>
      </c>
      <c r="E8" s="42" t="n">
        <f aca="false">IF(AND(D8="sim",ISNUMBER(C8),$C$19&gt;0),C8/$C$19,"")</f>
        <v>0.0174107142857143</v>
      </c>
    </row>
    <row r="9" customFormat="false" ht="15" hidden="false" customHeight="true" outlineLevel="0" collapsed="false">
      <c r="A9" s="40" t="str">
        <f aca="false">Pesos_Indicadores!A9</f>
        <v>Circularidade e ciclo de vida dos equipamentos</v>
      </c>
      <c r="B9" s="21" t="str">
        <f aca="false">Pesos_Indicadores!B9</f>
        <v>Sustentabilidade</v>
      </c>
      <c r="C9" s="41" t="n">
        <f aca="false">Pesos_Indicadores!H9</f>
        <v>0.0170454545454545</v>
      </c>
      <c r="D9" s="21" t="str">
        <f aca="false">Normalizacao!AH9</f>
        <v>sim</v>
      </c>
      <c r="E9" s="42" t="n">
        <f aca="false">IF(AND(D9="sim",ISNUMBER(C9),$C$19&gt;0),C9/$C$19,"")</f>
        <v>0.0174107142857143</v>
      </c>
    </row>
    <row r="10" customFormat="false" ht="15" hidden="false" customHeight="true" outlineLevel="0" collapsed="false">
      <c r="A10" s="40" t="str">
        <f aca="false">Pesos_Indicadores!A10</f>
        <v>Disponibilidade dos serviços (%)</v>
      </c>
      <c r="B10" s="21" t="str">
        <f aca="false">Pesos_Indicadores!B10</f>
        <v>Desempenho Operacional</v>
      </c>
      <c r="C10" s="41" t="n">
        <f aca="false">Pesos_Indicadores!H10</f>
        <v>0.027972027972028</v>
      </c>
      <c r="D10" s="21" t="str">
        <f aca="false">Normalizacao!AH10</f>
        <v>sim</v>
      </c>
      <c r="E10" s="42" t="n">
        <f aca="false">IF(AND(D10="sim",ISNUMBER(C10),$C$19&gt;0),C10/$C$19,"")</f>
        <v>0.0285714285714286</v>
      </c>
    </row>
    <row r="11" customFormat="false" ht="15" hidden="false" customHeight="true" outlineLevel="0" collapsed="false">
      <c r="A11" s="40" t="str">
        <f aca="false">Pesos_Indicadores!A11</f>
        <v>Suporte técnico e resposta a incidentes</v>
      </c>
      <c r="B11" s="21" t="str">
        <f aca="false">Pesos_Indicadores!B11</f>
        <v>Desempenho Operacional</v>
      </c>
      <c r="C11" s="41" t="n">
        <f aca="false">Pesos_Indicadores!H11</f>
        <v>0.020979020979021</v>
      </c>
      <c r="D11" s="21" t="str">
        <f aca="false">Normalizacao!AH11</f>
        <v>sim</v>
      </c>
      <c r="E11" s="42" t="n">
        <f aca="false">IF(AND(D11="sim",ISNUMBER(C11),$C$19&gt;0),C11/$C$19,"")</f>
        <v>0.0214285714285714</v>
      </c>
    </row>
    <row r="12" customFormat="false" ht="15" hidden="false" customHeight="true" outlineLevel="0" collapsed="false">
      <c r="A12" s="40" t="str">
        <f aca="false">Pesos_Indicadores!A12</f>
        <v>Latência e tempo de resposta (ms)</v>
      </c>
      <c r="B12" s="21" t="str">
        <f aca="false">Pesos_Indicadores!B12</f>
        <v>Desempenho Operacional</v>
      </c>
      <c r="C12" s="41" t="n">
        <f aca="false">Pesos_Indicadores!H12</f>
        <v>0.020979020979021</v>
      </c>
      <c r="D12" s="21" t="str">
        <f aca="false">Normalizacao!AH12</f>
        <v>não</v>
      </c>
      <c r="E12" s="42" t="str">
        <f aca="false">IF(AND(D12="sim",ISNUMBER(C12),$C$19&gt;0),C12/$C$19,"")</f>
        <v/>
      </c>
    </row>
    <row r="13" customFormat="false" ht="15" hidden="false" customHeight="true" outlineLevel="0" collapsed="false">
      <c r="A13" s="40" t="str">
        <f aca="false">Pesos_Indicadores!A13</f>
        <v>Escalabilidade e elasticidade</v>
      </c>
      <c r="B13" s="21" t="str">
        <f aca="false">Pesos_Indicadores!B13</f>
        <v>Desempenho Operacional</v>
      </c>
      <c r="C13" s="41" t="n">
        <f aca="false">Pesos_Indicadores!H13</f>
        <v>0.020979020979021</v>
      </c>
      <c r="D13" s="21" t="str">
        <f aca="false">Normalizacao!AH13</f>
        <v>sim</v>
      </c>
      <c r="E13" s="42" t="n">
        <f aca="false">IF(AND(D13="sim",ISNUMBER(C13),$C$19&gt;0),C13/$C$19,"")</f>
        <v>0.0214285714285714</v>
      </c>
    </row>
    <row r="14" customFormat="false" ht="15" hidden="false" customHeight="true" outlineLevel="0" collapsed="false">
      <c r="A14" s="40" t="str">
        <f aca="false">Pesos_Indicadores!A14</f>
        <v>Certificações e conformidade</v>
      </c>
      <c r="B14" s="21" t="str">
        <f aca="false">Pesos_Indicadores!B14</f>
        <v>Segurança da Informação</v>
      </c>
      <c r="C14" s="41" t="n">
        <f aca="false">Pesos_Indicadores!H14</f>
        <v>0.204545454545455</v>
      </c>
      <c r="D14" s="21" t="str">
        <f aca="false">Normalizacao!AH14</f>
        <v>sim</v>
      </c>
      <c r="E14" s="42" t="n">
        <f aca="false">IF(AND(D14="sim",ISNUMBER(C14),$C$19&gt;0),C14/$C$19,"")</f>
        <v>0.208928571428571</v>
      </c>
    </row>
    <row r="15" customFormat="false" ht="15" hidden="false" customHeight="true" outlineLevel="0" collapsed="false">
      <c r="A15" s="40" t="str">
        <f aca="false">Pesos_Indicadores!A15</f>
        <v>Backup, recuperação de desastres e continuidade</v>
      </c>
      <c r="B15" s="21" t="str">
        <f aca="false">Pesos_Indicadores!B15</f>
        <v>Segurança da Informação</v>
      </c>
      <c r="C15" s="41" t="n">
        <f aca="false">Pesos_Indicadores!H15</f>
        <v>0.204545454545455</v>
      </c>
      <c r="D15" s="21" t="str">
        <f aca="false">Normalizacao!AH15</f>
        <v>sim</v>
      </c>
      <c r="E15" s="42" t="n">
        <f aca="false">IF(AND(D15="sim",ISNUMBER(C15),$C$19&gt;0),C15/$C$19,"")</f>
        <v>0.208928571428571</v>
      </c>
    </row>
    <row r="16" customFormat="false" ht="15" hidden="false" customHeight="true" outlineLevel="0" collapsed="false">
      <c r="A16" s="40" t="str">
        <f aca="false">Pesos_Indicadores!A16</f>
        <v>Identidade, autenticação e controle de acesso</v>
      </c>
      <c r="B16" s="21" t="str">
        <f aca="false">Pesos_Indicadores!B16</f>
        <v>Segurança da Informação</v>
      </c>
      <c r="C16" s="41" t="n">
        <f aca="false">Pesos_Indicadores!H16</f>
        <v>0.204545454545455</v>
      </c>
      <c r="D16" s="21" t="str">
        <f aca="false">Normalizacao!AH16</f>
        <v>sim</v>
      </c>
      <c r="E16" s="42" t="n">
        <f aca="false">IF(AND(D16="sim",ISNUMBER(C16),$C$19&gt;0),C16/$C$19,"")</f>
        <v>0.208928571428571</v>
      </c>
    </row>
    <row r="17" customFormat="false" ht="15" hidden="false" customHeight="true" outlineLevel="0" collapsed="false">
      <c r="A17" s="40" t="str">
        <f aca="false">Pesos_Indicadores!A17</f>
        <v>Proteção de dados e criptografia</v>
      </c>
      <c r="B17" s="21" t="str">
        <f aca="false">Pesos_Indicadores!B17</f>
        <v>Segurança da Informação</v>
      </c>
      <c r="C17" s="41" t="n">
        <f aca="false">Pesos_Indicadores!H17</f>
        <v>0.204545454545455</v>
      </c>
      <c r="D17" s="21" t="str">
        <f aca="false">Normalizacao!AH17</f>
        <v>sim</v>
      </c>
      <c r="E17" s="42" t="n">
        <f aca="false">IF(AND(D17="sim",ISNUMBER(C17),$C$19&gt;0),C17/$C$19,"")</f>
        <v>0.208928571428571</v>
      </c>
    </row>
    <row r="19" customFormat="false" ht="15" hidden="false" customHeight="true" outlineLevel="0" collapsed="false">
      <c r="A19" s="17" t="s">
        <v>228</v>
      </c>
      <c r="C19" s="43" t="n">
        <f aca="false">SUMIF($D$5:$D$17,"sim",$C$5:$C$17)</f>
        <v>0.979020979020979</v>
      </c>
    </row>
    <row r="20" customFormat="false" ht="15" hidden="false" customHeight="true" outlineLevel="0" collapsed="false">
      <c r="A20" s="17" t="s">
        <v>229</v>
      </c>
      <c r="D20" s="27" t="str">
        <f aca="false">IF(ABS(E20-1)&lt;0.000001,"OK","DIVERGE")</f>
        <v>OK</v>
      </c>
      <c r="E20" s="43" t="n">
        <f aca="false">SUM($E$5:$E$17)</f>
        <v>1</v>
      </c>
    </row>
    <row r="22" customFormat="false" ht="15" hidden="false" customHeight="true" outlineLevel="0" collapsed="false">
      <c r="A22" s="3" t="s">
        <v>230</v>
      </c>
    </row>
    <row r="23" customFormat="false" ht="15" hidden="false" customHeight="true" outlineLevel="0" collapsed="false">
      <c r="A23" s="16" t="s">
        <v>125</v>
      </c>
      <c r="B23" s="16" t="s">
        <v>231</v>
      </c>
      <c r="C23" s="16" t="s">
        <v>232</v>
      </c>
      <c r="D23" s="16" t="s">
        <v>233</v>
      </c>
    </row>
    <row r="24" customFormat="false" ht="15" hidden="false" customHeight="true" outlineLevel="0" collapsed="false">
      <c r="A24" s="17" t="s">
        <v>112</v>
      </c>
      <c r="B24" s="33" t="n">
        <f aca="false">VLOOKUP(A24,AHP_Dimensoes!$A$20:$E$22,5,FALSE())</f>
        <v>0.0909090909090909</v>
      </c>
      <c r="C24" s="24" t="n">
        <f aca="false">SUMIF($B$5:$B$17,A24,$E$5:$E$17)</f>
        <v>0.0928571428571429</v>
      </c>
      <c r="D24" s="26" t="n">
        <f aca="false">C24-B24</f>
        <v>0.00194805194805195</v>
      </c>
    </row>
    <row r="25" customFormat="false" ht="15" hidden="false" customHeight="true" outlineLevel="0" collapsed="false">
      <c r="A25" s="17" t="s">
        <v>113</v>
      </c>
      <c r="B25" s="33" t="n">
        <f aca="false">VLOOKUP(A25,AHP_Dimensoes!$A$20:$E$22,5,FALSE())</f>
        <v>0.0909090909090909</v>
      </c>
      <c r="C25" s="24" t="n">
        <f aca="false">SUMIF($B$5:$B$17,A25,$E$5:$E$17)</f>
        <v>0.0714285714285714</v>
      </c>
      <c r="D25" s="26" t="n">
        <f aca="false">C25-B25</f>
        <v>-0.0194805194805195</v>
      </c>
    </row>
    <row r="26" customFormat="false" ht="15" hidden="false" customHeight="true" outlineLevel="0" collapsed="false">
      <c r="A26" s="17" t="s">
        <v>115</v>
      </c>
      <c r="B26" s="33" t="n">
        <f aca="false">VLOOKUP(A26,AHP_Dimensoes!$A$20:$E$22,5,FALSE())</f>
        <v>0.818181818181818</v>
      </c>
      <c r="C26" s="24" t="n">
        <f aca="false">SUMIF($B$5:$B$17,A26,$E$5:$E$17)</f>
        <v>0.835714285714286</v>
      </c>
      <c r="D26" s="26" t="n">
        <f aca="false">C26-B26</f>
        <v>0.0175324675324675</v>
      </c>
    </row>
    <row r="27" customFormat="false" ht="15" hidden="false" customHeight="true" outlineLevel="0" collapsed="false">
      <c r="A27" s="19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I41"/>
  <sheetViews>
    <sheetView showFormulas="false" showGridLines="fals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B41" activeCellId="0" sqref="B4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4"/>
    <col collapsed="false" customWidth="true" hidden="false" outlineLevel="0" max="3" min="3" style="1" width="16.05"/>
    <col collapsed="false" customWidth="true" hidden="false" outlineLevel="0" max="6" min="4" style="1" width="11"/>
    <col collapsed="false" customWidth="true" hidden="false" outlineLevel="0" max="9" min="7" style="1" width="13"/>
  </cols>
  <sheetData>
    <row r="1" customFormat="false" ht="15.75" hidden="false" customHeight="true" outlineLevel="0" collapsed="false">
      <c r="A1" s="14" t="s">
        <v>235</v>
      </c>
    </row>
    <row r="2" customFormat="false" ht="15" hidden="false" customHeight="true" outlineLevel="0" collapsed="false">
      <c r="A2" s="15" t="s">
        <v>236</v>
      </c>
    </row>
    <row r="4" customFormat="false" ht="21.75" hidden="false" customHeight="true" outlineLevel="0" collapsed="false">
      <c r="A4" s="16" t="s">
        <v>135</v>
      </c>
      <c r="B4" s="16" t="s">
        <v>125</v>
      </c>
      <c r="C4" s="16" t="s">
        <v>237</v>
      </c>
      <c r="D4" s="16" t="s">
        <v>185</v>
      </c>
      <c r="E4" s="16" t="s">
        <v>186</v>
      </c>
      <c r="F4" s="16" t="s">
        <v>187</v>
      </c>
      <c r="G4" s="16" t="s">
        <v>238</v>
      </c>
      <c r="H4" s="16" t="s">
        <v>239</v>
      </c>
      <c r="I4" s="16" t="s">
        <v>240</v>
      </c>
    </row>
    <row r="5" customFormat="false" ht="15" hidden="false" customHeight="true" outlineLevel="0" collapsed="false">
      <c r="A5" s="40" t="str">
        <f aca="false">Pesos_Indicadores!A5</f>
        <v>Eficiência energética dos data centers (PUE)</v>
      </c>
      <c r="B5" s="21" t="str">
        <f aca="false">Pesos_Indicadores!B5</f>
        <v>Sustentabilidade</v>
      </c>
      <c r="C5" s="44" t="n">
        <f aca="false">Pesos_Efetivos!E5</f>
        <v>0.0174107142857143</v>
      </c>
      <c r="D5" s="45" t="n">
        <f aca="false">IF(C5="","",Normalizacao!AC5)</f>
        <v>0.956140350877193</v>
      </c>
      <c r="E5" s="45" t="n">
        <f aca="false">IF(C5="","",Normalizacao!AD5)</f>
        <v>1</v>
      </c>
      <c r="F5" s="45" t="n">
        <f aca="false">IF(C5="","",Normalizacao!AE5)</f>
        <v>0.931623931623932</v>
      </c>
      <c r="G5" s="46" t="n">
        <f aca="false">IF(OR(C5="",D5=""),"",C5*D5)</f>
        <v>0.0166470864661654</v>
      </c>
      <c r="H5" s="46" t="n">
        <f aca="false">IF(OR(C5="",E5=""),"",C5*E5)</f>
        <v>0.0174107142857143</v>
      </c>
      <c r="I5" s="46" t="n">
        <f aca="false">IF(OR(C5="",F5=""),"",C5*F5)</f>
        <v>0.0162202380952381</v>
      </c>
    </row>
    <row r="6" customFormat="false" ht="15" hidden="false" customHeight="true" outlineLevel="0" collapsed="false">
      <c r="A6" s="40" t="str">
        <f aca="false">Pesos_Indicadores!A6</f>
        <v>Utilização de fontes de energia renovável (%)</v>
      </c>
      <c r="B6" s="21" t="str">
        <f aca="false">Pesos_Indicadores!B6</f>
        <v>Sustentabilidade</v>
      </c>
      <c r="C6" s="44" t="n">
        <f aca="false">Pesos_Efetivos!E6</f>
        <v>0.0232142857142857</v>
      </c>
      <c r="D6" s="45" t="n">
        <f aca="false">IF(C6="","",Normalizacao!AC6)</f>
        <v>0</v>
      </c>
      <c r="E6" s="45" t="n">
        <f aca="false">IF(C6="","",Normalizacao!AD6)</f>
        <v>0.96</v>
      </c>
      <c r="F6" s="45" t="n">
        <f aca="false">IF(C6="","",Normalizacao!AE6)</f>
        <v>1</v>
      </c>
      <c r="G6" s="46" t="n">
        <f aca="false">IF(OR(C6="",D6=""),"",C6*D6)</f>
        <v>0</v>
      </c>
      <c r="H6" s="46" t="n">
        <f aca="false">IF(OR(C6="",E6=""),"",C6*E6)</f>
        <v>0.0222857142857143</v>
      </c>
      <c r="I6" s="46" t="n">
        <f aca="false">IF(OR(C6="",F6=""),"",C6*F6)</f>
        <v>0.0232142857142857</v>
      </c>
    </row>
    <row r="7" customFormat="false" ht="15" hidden="false" customHeight="true" outlineLevel="0" collapsed="false">
      <c r="A7" s="40" t="str">
        <f aca="false">Pesos_Indicadores!A7</f>
        <v>Redução de emissões de gases de efeito estufa</v>
      </c>
      <c r="B7" s="21" t="str">
        <f aca="false">Pesos_Indicadores!B7</f>
        <v>Sustentabilidade</v>
      </c>
      <c r="C7" s="44" t="n">
        <f aca="false">Pesos_Efetivos!E7</f>
        <v>0.0174107142857143</v>
      </c>
      <c r="D7" s="45" t="n">
        <f aca="false">IF(C7="","",Normalizacao!AC7)</f>
        <v>0.75</v>
      </c>
      <c r="E7" s="45" t="n">
        <f aca="false">IF(C7="","",Normalizacao!AD7)</f>
        <v>0.75</v>
      </c>
      <c r="F7" s="45" t="n">
        <f aca="false">IF(C7="","",Normalizacao!AE7)</f>
        <v>0.75</v>
      </c>
      <c r="G7" s="46" t="n">
        <f aca="false">IF(OR(C7="",D7=""),"",C7*D7)</f>
        <v>0.0130580357142857</v>
      </c>
      <c r="H7" s="46" t="n">
        <f aca="false">IF(OR(C7="",E7=""),"",C7*E7)</f>
        <v>0.0130580357142857</v>
      </c>
      <c r="I7" s="46" t="n">
        <f aca="false">IF(OR(C7="",F7=""),"",C7*F7)</f>
        <v>0.0130580357142857</v>
      </c>
    </row>
    <row r="8" customFormat="false" ht="15" hidden="false" customHeight="true" outlineLevel="0" collapsed="false">
      <c r="A8" s="40" t="str">
        <f aca="false">Pesos_Indicadores!A8</f>
        <v>Gestão de resíduos eletrônicos (% de desvio de aterro)</v>
      </c>
      <c r="B8" s="21" t="str">
        <f aca="false">Pesos_Indicadores!B8</f>
        <v>Sustentabilidade</v>
      </c>
      <c r="C8" s="44" t="n">
        <f aca="false">Pesos_Efetivos!E8</f>
        <v>0.0174107142857143</v>
      </c>
      <c r="D8" s="45" t="n">
        <f aca="false">IF(C8="","",Normalizacao!AC8)</f>
        <v>0.91304347826087</v>
      </c>
      <c r="E8" s="45" t="n">
        <f aca="false">IF(C8="","",Normalizacao!AD8)</f>
        <v>0.956521739130435</v>
      </c>
      <c r="F8" s="45" t="n">
        <f aca="false">IF(C8="","",Normalizacao!AE8)</f>
        <v>1</v>
      </c>
      <c r="G8" s="46" t="n">
        <f aca="false">IF(OR(C8="",D8=""),"",C8*D8)</f>
        <v>0.0158967391304348</v>
      </c>
      <c r="H8" s="46" t="n">
        <f aca="false">IF(OR(C8="",E8=""),"",C8*E8)</f>
        <v>0.0166537267080745</v>
      </c>
      <c r="I8" s="46" t="n">
        <f aca="false">IF(OR(C8="",F8=""),"",C8*F8)</f>
        <v>0.0174107142857143</v>
      </c>
    </row>
    <row r="9" customFormat="false" ht="15" hidden="false" customHeight="true" outlineLevel="0" collapsed="false">
      <c r="A9" s="40" t="str">
        <f aca="false">Pesos_Indicadores!A9</f>
        <v>Circularidade e ciclo de vida dos equipamentos</v>
      </c>
      <c r="B9" s="21" t="str">
        <f aca="false">Pesos_Indicadores!B9</f>
        <v>Sustentabilidade</v>
      </c>
      <c r="C9" s="44" t="n">
        <f aca="false">Pesos_Efetivos!E9</f>
        <v>0.0174107142857143</v>
      </c>
      <c r="D9" s="45" t="n">
        <f aca="false">IF(C9="","",Normalizacao!AC9)</f>
        <v>0.75</v>
      </c>
      <c r="E9" s="45" t="n">
        <f aca="false">IF(C9="","",Normalizacao!AD9)</f>
        <v>0.75</v>
      </c>
      <c r="F9" s="45" t="n">
        <f aca="false">IF(C9="","",Normalizacao!AE9)</f>
        <v>0.75</v>
      </c>
      <c r="G9" s="46" t="n">
        <f aca="false">IF(OR(C9="",D9=""),"",C9*D9)</f>
        <v>0.0130580357142857</v>
      </c>
      <c r="H9" s="46" t="n">
        <f aca="false">IF(OR(C9="",E9=""),"",C9*E9)</f>
        <v>0.0130580357142857</v>
      </c>
      <c r="I9" s="46" t="n">
        <f aca="false">IF(OR(C9="",F9=""),"",C9*F9)</f>
        <v>0.0130580357142857</v>
      </c>
    </row>
    <row r="10" customFormat="false" ht="15" hidden="false" customHeight="true" outlineLevel="0" collapsed="false">
      <c r="A10" s="40" t="str">
        <f aca="false">Pesos_Indicadores!A10</f>
        <v>Disponibilidade dos serviços (%)</v>
      </c>
      <c r="B10" s="21" t="str">
        <f aca="false">Pesos_Indicadores!B10</f>
        <v>Desempenho Operacional</v>
      </c>
      <c r="C10" s="44" t="n">
        <f aca="false">Pesos_Efetivos!E10</f>
        <v>0.0285714285714286</v>
      </c>
      <c r="D10" s="45" t="n">
        <f aca="false">IF(C10="","",Normalizacao!AC10)</f>
        <v>1</v>
      </c>
      <c r="E10" s="45" t="n">
        <f aca="false">IF(C10="","",Normalizacao!AD10)</f>
        <v>1</v>
      </c>
      <c r="F10" s="45" t="n">
        <f aca="false">IF(C10="","",Normalizacao!AE10)</f>
        <v>0.999099909990999</v>
      </c>
      <c r="G10" s="46" t="n">
        <f aca="false">IF(OR(C10="",D10=""),"",C10*D10)</f>
        <v>0.0285714285714286</v>
      </c>
      <c r="H10" s="46" t="n">
        <f aca="false">IF(OR(C10="",E10=""),"",C10*E10)</f>
        <v>0.0285714285714286</v>
      </c>
      <c r="I10" s="46" t="n">
        <f aca="false">IF(OR(C10="",F10=""),"",C10*F10)</f>
        <v>0.0285457117140285</v>
      </c>
    </row>
    <row r="11" customFormat="false" ht="15" hidden="false" customHeight="true" outlineLevel="0" collapsed="false">
      <c r="A11" s="40" t="str">
        <f aca="false">Pesos_Indicadores!A11</f>
        <v>Suporte técnico e resposta a incidentes</v>
      </c>
      <c r="B11" s="21" t="str">
        <f aca="false">Pesos_Indicadores!B11</f>
        <v>Desempenho Operacional</v>
      </c>
      <c r="C11" s="44" t="n">
        <f aca="false">Pesos_Efetivos!E11</f>
        <v>0.0214285714285714</v>
      </c>
      <c r="D11" s="45" t="n">
        <f aca="false">IF(C11="","",Normalizacao!AC11)</f>
        <v>0.75</v>
      </c>
      <c r="E11" s="45" t="n">
        <f aca="false">IF(C11="","",Normalizacao!AD11)</f>
        <v>0.75</v>
      </c>
      <c r="F11" s="45" t="n">
        <f aca="false">IF(C11="","",Normalizacao!AE11)</f>
        <v>0.75</v>
      </c>
      <c r="G11" s="46" t="n">
        <f aca="false">IF(OR(C11="",D11=""),"",C11*D11)</f>
        <v>0.0160714285714286</v>
      </c>
      <c r="H11" s="46" t="n">
        <f aca="false">IF(OR(C11="",E11=""),"",C11*E11)</f>
        <v>0.0160714285714286</v>
      </c>
      <c r="I11" s="46" t="n">
        <f aca="false">IF(OR(C11="",F11=""),"",C11*F11)</f>
        <v>0.0160714285714286</v>
      </c>
    </row>
    <row r="12" customFormat="false" ht="15" hidden="false" customHeight="true" outlineLevel="0" collapsed="false">
      <c r="A12" s="40" t="str">
        <f aca="false">Pesos_Indicadores!A12</f>
        <v>Latência e tempo de resposta (ms)</v>
      </c>
      <c r="B12" s="21" t="str">
        <f aca="false">Pesos_Indicadores!B12</f>
        <v>Desempenho Operacional</v>
      </c>
      <c r="C12" s="44" t="str">
        <f aca="false">Pesos_Efetivos!E12</f>
        <v/>
      </c>
      <c r="D12" s="45" t="str">
        <f aca="false">IF(C12="","",Normalizacao!AC12)</f>
        <v/>
      </c>
      <c r="E12" s="45" t="str">
        <f aca="false">IF(C12="","",Normalizacao!AD12)</f>
        <v/>
      </c>
      <c r="F12" s="45" t="str">
        <f aca="false">IF(C12="","",Normalizacao!AE12)</f>
        <v/>
      </c>
      <c r="G12" s="46" t="str">
        <f aca="false">IF(OR(C12="",D12=""),"",C12*D12)</f>
        <v/>
      </c>
      <c r="H12" s="46" t="str">
        <f aca="false">IF(OR(C12="",E12=""),"",C12*E12)</f>
        <v/>
      </c>
      <c r="I12" s="46" t="str">
        <f aca="false">IF(OR(C12="",F12=""),"",C12*F12)</f>
        <v/>
      </c>
    </row>
    <row r="13" customFormat="false" ht="15" hidden="false" customHeight="true" outlineLevel="0" collapsed="false">
      <c r="A13" s="40" t="str">
        <f aca="false">Pesos_Indicadores!A13</f>
        <v>Escalabilidade e elasticidade</v>
      </c>
      <c r="B13" s="21" t="str">
        <f aca="false">Pesos_Indicadores!B13</f>
        <v>Desempenho Operacional</v>
      </c>
      <c r="C13" s="44" t="n">
        <f aca="false">Pesos_Efetivos!E13</f>
        <v>0.0214285714285714</v>
      </c>
      <c r="D13" s="45" t="n">
        <f aca="false">IF(C13="","",Normalizacao!AC13)</f>
        <v>0.75</v>
      </c>
      <c r="E13" s="45" t="n">
        <f aca="false">IF(C13="","",Normalizacao!AD13)</f>
        <v>0.75</v>
      </c>
      <c r="F13" s="45" t="n">
        <f aca="false">IF(C13="","",Normalizacao!AE13)</f>
        <v>0.75</v>
      </c>
      <c r="G13" s="46" t="n">
        <f aca="false">IF(OR(C13="",D13=""),"",C13*D13)</f>
        <v>0.0160714285714286</v>
      </c>
      <c r="H13" s="46" t="n">
        <f aca="false">IF(OR(C13="",E13=""),"",C13*E13)</f>
        <v>0.0160714285714286</v>
      </c>
      <c r="I13" s="46" t="n">
        <f aca="false">IF(OR(C13="",F13=""),"",C13*F13)</f>
        <v>0.0160714285714286</v>
      </c>
    </row>
    <row r="14" customFormat="false" ht="15" hidden="false" customHeight="true" outlineLevel="0" collapsed="false">
      <c r="A14" s="40" t="str">
        <f aca="false">Pesos_Indicadores!A14</f>
        <v>Certificações e conformidade</v>
      </c>
      <c r="B14" s="21" t="str">
        <f aca="false">Pesos_Indicadores!B14</f>
        <v>Segurança da Informação</v>
      </c>
      <c r="C14" s="44" t="n">
        <f aca="false">Pesos_Efetivos!E14</f>
        <v>0.208928571428571</v>
      </c>
      <c r="D14" s="45" t="n">
        <f aca="false">IF(C14="","",Normalizacao!AC14)</f>
        <v>0.75</v>
      </c>
      <c r="E14" s="45" t="n">
        <f aca="false">IF(C14="","",Normalizacao!AD14)</f>
        <v>0.75</v>
      </c>
      <c r="F14" s="45" t="n">
        <f aca="false">IF(C14="","",Normalizacao!AE14)</f>
        <v>1</v>
      </c>
      <c r="G14" s="46" t="n">
        <f aca="false">IF(OR(C14="",D14=""),"",C14*D14)</f>
        <v>0.156696428571429</v>
      </c>
      <c r="H14" s="46" t="n">
        <f aca="false">IF(OR(C14="",E14=""),"",C14*E14)</f>
        <v>0.156696428571429</v>
      </c>
      <c r="I14" s="46" t="n">
        <f aca="false">IF(OR(C14="",F14=""),"",C14*F14)</f>
        <v>0.208928571428571</v>
      </c>
    </row>
    <row r="15" customFormat="false" ht="15" hidden="false" customHeight="true" outlineLevel="0" collapsed="false">
      <c r="A15" s="40" t="str">
        <f aca="false">Pesos_Indicadores!A15</f>
        <v>Backup, recuperação de desastres e continuidade</v>
      </c>
      <c r="B15" s="21" t="str">
        <f aca="false">Pesos_Indicadores!B15</f>
        <v>Segurança da Informação</v>
      </c>
      <c r="C15" s="44" t="n">
        <f aca="false">Pesos_Efetivos!E15</f>
        <v>0.208928571428571</v>
      </c>
      <c r="D15" s="45" t="n">
        <f aca="false">IF(C15="","",Normalizacao!AC15)</f>
        <v>0.75</v>
      </c>
      <c r="E15" s="45" t="n">
        <f aca="false">IF(C15="","",Normalizacao!AD15)</f>
        <v>0.75</v>
      </c>
      <c r="F15" s="45" t="n">
        <f aca="false">IF(C15="","",Normalizacao!AE15)</f>
        <v>0.75</v>
      </c>
      <c r="G15" s="46" t="n">
        <f aca="false">IF(OR(C15="",D15=""),"",C15*D15)</f>
        <v>0.156696428571429</v>
      </c>
      <c r="H15" s="46" t="n">
        <f aca="false">IF(OR(C15="",E15=""),"",C15*E15)</f>
        <v>0.156696428571429</v>
      </c>
      <c r="I15" s="46" t="n">
        <f aca="false">IF(OR(C15="",F15=""),"",C15*F15)</f>
        <v>0.156696428571429</v>
      </c>
    </row>
    <row r="16" customFormat="false" ht="15" hidden="false" customHeight="true" outlineLevel="0" collapsed="false">
      <c r="A16" s="40" t="str">
        <f aca="false">Pesos_Indicadores!A16</f>
        <v>Identidade, autenticação e controle de acesso</v>
      </c>
      <c r="B16" s="21" t="str">
        <f aca="false">Pesos_Indicadores!B16</f>
        <v>Segurança da Informação</v>
      </c>
      <c r="C16" s="44" t="n">
        <f aca="false">Pesos_Efetivos!E16</f>
        <v>0.208928571428571</v>
      </c>
      <c r="D16" s="45" t="n">
        <f aca="false">IF(C16="","",Normalizacao!AC16)</f>
        <v>0.75</v>
      </c>
      <c r="E16" s="45" t="n">
        <f aca="false">IF(C16="","",Normalizacao!AD16)</f>
        <v>0.75</v>
      </c>
      <c r="F16" s="45" t="n">
        <f aca="false">IF(C16="","",Normalizacao!AE16)</f>
        <v>0.75</v>
      </c>
      <c r="G16" s="46" t="n">
        <f aca="false">IF(OR(C16="",D16=""),"",C16*D16)</f>
        <v>0.156696428571429</v>
      </c>
      <c r="H16" s="46" t="n">
        <f aca="false">IF(OR(C16="",E16=""),"",C16*E16)</f>
        <v>0.156696428571429</v>
      </c>
      <c r="I16" s="46" t="n">
        <f aca="false">IF(OR(C16="",F16=""),"",C16*F16)</f>
        <v>0.156696428571429</v>
      </c>
    </row>
    <row r="17" customFormat="false" ht="15" hidden="false" customHeight="true" outlineLevel="0" collapsed="false">
      <c r="A17" s="40" t="str">
        <f aca="false">Pesos_Indicadores!A17</f>
        <v>Proteção de dados e criptografia</v>
      </c>
      <c r="B17" s="21" t="str">
        <f aca="false">Pesos_Indicadores!B17</f>
        <v>Segurança da Informação</v>
      </c>
      <c r="C17" s="44" t="n">
        <f aca="false">Pesos_Efetivos!E17</f>
        <v>0.208928571428571</v>
      </c>
      <c r="D17" s="45" t="n">
        <f aca="false">IF(C17="","",Normalizacao!AC17)</f>
        <v>0.75</v>
      </c>
      <c r="E17" s="45" t="n">
        <f aca="false">IF(C17="","",Normalizacao!AD17)</f>
        <v>0.75</v>
      </c>
      <c r="F17" s="45" t="n">
        <f aca="false">IF(C17="","",Normalizacao!AE17)</f>
        <v>0.75</v>
      </c>
      <c r="G17" s="46" t="n">
        <f aca="false">IF(OR(C17="",D17=""),"",C17*D17)</f>
        <v>0.156696428571429</v>
      </c>
      <c r="H17" s="46" t="n">
        <f aca="false">IF(OR(C17="",E17=""),"",C17*E17)</f>
        <v>0.156696428571429</v>
      </c>
      <c r="I17" s="46" t="n">
        <f aca="false">IF(OR(C17="",F17=""),"",C17*F17)</f>
        <v>0.156696428571429</v>
      </c>
    </row>
    <row r="18" customFormat="false" ht="15" hidden="false" customHeight="true" outlineLevel="0" collapsed="false">
      <c r="A18" s="17" t="s">
        <v>241</v>
      </c>
      <c r="B18" s="30"/>
      <c r="C18" s="30"/>
      <c r="D18" s="30"/>
      <c r="E18" s="30"/>
      <c r="F18" s="30"/>
      <c r="G18" s="47" t="n">
        <f aca="false">SUM(G5:G17)</f>
        <v>0.746159897025172</v>
      </c>
      <c r="H18" s="47" t="n">
        <f aca="false">SUM(H5:H17)</f>
        <v>0.769966226708075</v>
      </c>
      <c r="I18" s="47" t="n">
        <f aca="false">SUM(I5:I17)</f>
        <v>0.822667735523552</v>
      </c>
    </row>
    <row r="20" customFormat="false" ht="15" hidden="false" customHeight="true" outlineLevel="0" collapsed="false">
      <c r="A20" s="3" t="s">
        <v>242</v>
      </c>
    </row>
    <row r="21" customFormat="false" ht="21.75" hidden="false" customHeight="true" outlineLevel="0" collapsed="false">
      <c r="A21" s="16" t="s">
        <v>125</v>
      </c>
      <c r="B21" s="16"/>
      <c r="C21" s="16" t="s">
        <v>232</v>
      </c>
      <c r="D21" s="16" t="s">
        <v>238</v>
      </c>
      <c r="E21" s="16" t="s">
        <v>239</v>
      </c>
      <c r="F21" s="16" t="s">
        <v>240</v>
      </c>
      <c r="G21" s="16" t="s">
        <v>243</v>
      </c>
      <c r="H21" s="16" t="s">
        <v>244</v>
      </c>
      <c r="I21" s="16" t="s">
        <v>245</v>
      </c>
    </row>
    <row r="22" customFormat="false" ht="15" hidden="false" customHeight="true" outlineLevel="0" collapsed="false">
      <c r="A22" s="17" t="s">
        <v>112</v>
      </c>
      <c r="C22" s="48" t="n">
        <f aca="false">Pesos_Efetivos!C24</f>
        <v>0.0928571428571429</v>
      </c>
      <c r="D22" s="36" t="n">
        <f aca="false">SUMIF($B$5:$B$17,$A22,G$5:G$17)</f>
        <v>0.0586598970251716</v>
      </c>
      <c r="E22" s="36" t="n">
        <f aca="false">SUMIF($B$5:$B$17,$A22,H$5:H$17)</f>
        <v>0.0824662267080745</v>
      </c>
      <c r="F22" s="36" t="n">
        <f aca="false">SUMIF($B$5:$B$17,$A22,I$5:I$17)</f>
        <v>0.0829613095238095</v>
      </c>
      <c r="G22" s="36" t="n">
        <f aca="false">IF($C22=0,"",D22/$C22)</f>
        <v>0.631721967963387</v>
      </c>
      <c r="H22" s="36" t="n">
        <f aca="false">IF($C22=0,"",E22/$C22)</f>
        <v>0.888097826086956</v>
      </c>
      <c r="I22" s="36" t="n">
        <f aca="false">IF($C22=0,"",F22/$C22)</f>
        <v>0.893429487179487</v>
      </c>
    </row>
    <row r="23" customFormat="false" ht="15" hidden="false" customHeight="true" outlineLevel="0" collapsed="false">
      <c r="A23" s="17" t="s">
        <v>113</v>
      </c>
      <c r="C23" s="48" t="n">
        <f aca="false">Pesos_Efetivos!C25</f>
        <v>0.0714285714285714</v>
      </c>
      <c r="D23" s="36" t="n">
        <f aca="false">SUMIF($B$5:$B$17,$A23,G$5:G$17)</f>
        <v>0.0607142857142857</v>
      </c>
      <c r="E23" s="36" t="n">
        <f aca="false">SUMIF($B$5:$B$17,$A23,H$5:H$17)</f>
        <v>0.0607142857142857</v>
      </c>
      <c r="F23" s="36" t="n">
        <f aca="false">SUMIF($B$5:$B$17,$A23,I$5:I$17)</f>
        <v>0.0606885688568857</v>
      </c>
      <c r="G23" s="36" t="n">
        <f aca="false">IF($C23=0,"",D23/$C23)</f>
        <v>0.85</v>
      </c>
      <c r="H23" s="36" t="n">
        <f aca="false">IF($C23=0,"",E23/$C23)</f>
        <v>0.85</v>
      </c>
      <c r="I23" s="36" t="n">
        <f aca="false">IF($C23=0,"",F23/$C23)</f>
        <v>0.8496399639964</v>
      </c>
    </row>
    <row r="24" customFormat="false" ht="15" hidden="false" customHeight="true" outlineLevel="0" collapsed="false">
      <c r="A24" s="17" t="s">
        <v>115</v>
      </c>
      <c r="C24" s="48" t="n">
        <f aca="false">Pesos_Efetivos!C26</f>
        <v>0.835714285714286</v>
      </c>
      <c r="D24" s="36" t="n">
        <f aca="false">SUMIF($B$5:$B$17,$A24,G$5:G$17)</f>
        <v>0.626785714285714</v>
      </c>
      <c r="E24" s="36" t="n">
        <f aca="false">SUMIF($B$5:$B$17,$A24,H$5:H$17)</f>
        <v>0.626785714285714</v>
      </c>
      <c r="F24" s="36" t="n">
        <f aca="false">SUMIF($B$5:$B$17,$A24,I$5:I$17)</f>
        <v>0.679017857142857</v>
      </c>
      <c r="G24" s="36" t="n">
        <f aca="false">IF($C24=0,"",D24/$C24)</f>
        <v>0.75</v>
      </c>
      <c r="H24" s="36" t="n">
        <f aca="false">IF($C24=0,"",E24/$C24)</f>
        <v>0.75</v>
      </c>
      <c r="I24" s="36" t="n">
        <f aca="false">IF($C24=0,"",F24/$C24)</f>
        <v>0.8125</v>
      </c>
    </row>
    <row r="25" customFormat="false" ht="15" hidden="false" customHeight="true" outlineLevel="0" collapsed="false">
      <c r="A25" s="19" t="s">
        <v>246</v>
      </c>
    </row>
    <row r="27" customFormat="false" ht="15" hidden="false" customHeight="true" outlineLevel="0" collapsed="false">
      <c r="A27" s="3" t="s">
        <v>247</v>
      </c>
    </row>
    <row r="28" customFormat="false" ht="21.75" hidden="false" customHeight="true" outlineLevel="0" collapsed="false">
      <c r="A28" s="16" t="s">
        <v>248</v>
      </c>
      <c r="B28" s="16" t="s">
        <v>241</v>
      </c>
      <c r="C28" s="16" t="s">
        <v>249</v>
      </c>
    </row>
    <row r="29" customFormat="false" ht="15" hidden="false" customHeight="true" outlineLevel="0" collapsed="false">
      <c r="A29" s="17" t="s">
        <v>250</v>
      </c>
      <c r="B29" s="47" t="n">
        <f aca="false">G18</f>
        <v>0.746159897025172</v>
      </c>
      <c r="C29" s="49" t="n">
        <f aca="false">B29-0.0000000001*1</f>
        <v>0.746159896925172</v>
      </c>
      <c r="D29" s="19" t="s">
        <v>251</v>
      </c>
    </row>
    <row r="30" customFormat="false" ht="15" hidden="false" customHeight="true" outlineLevel="0" collapsed="false">
      <c r="A30" s="17" t="s">
        <v>252</v>
      </c>
      <c r="B30" s="47" t="n">
        <f aca="false">H18</f>
        <v>0.769966226708075</v>
      </c>
      <c r="C30" s="49" t="n">
        <f aca="false">B30-0.0000000001*2</f>
        <v>0.769966226508074</v>
      </c>
    </row>
    <row r="31" customFormat="false" ht="15" hidden="false" customHeight="true" outlineLevel="0" collapsed="false">
      <c r="A31" s="17" t="s">
        <v>253</v>
      </c>
      <c r="B31" s="47" t="n">
        <f aca="false">I18</f>
        <v>0.822667735523552</v>
      </c>
      <c r="C31" s="49" t="n">
        <f aca="false">B31-0.0000000001*3</f>
        <v>0.822667735223552</v>
      </c>
    </row>
    <row r="33" customFormat="false" ht="32.25" hidden="false" customHeight="true" outlineLevel="0" collapsed="false">
      <c r="A33" s="16" t="s">
        <v>254</v>
      </c>
      <c r="B33" s="16" t="s">
        <v>248</v>
      </c>
      <c r="C33" s="16" t="s">
        <v>255</v>
      </c>
      <c r="D33" s="16" t="s">
        <v>256</v>
      </c>
      <c r="E33" s="16" t="s">
        <v>257</v>
      </c>
      <c r="F33" s="16" t="s">
        <v>258</v>
      </c>
    </row>
    <row r="34" customFormat="false" ht="15" hidden="false" customHeight="true" outlineLevel="0" collapsed="false">
      <c r="A34" s="50" t="n">
        <v>1</v>
      </c>
      <c r="B34" s="50" t="str">
        <f aca="false">INDEX($A$29:$A$31,MATCH(LARGE($C$29:$C$31,A34),$C$29:$C$31,0))</f>
        <v>Microsoft Azure</v>
      </c>
      <c r="C34" s="51" t="n">
        <f aca="false">INDEX($B$29:$B$31,MATCH(LARGE($C$29:$C$31,A34),$C$29:$C$31,0))</f>
        <v>0.822667735523552</v>
      </c>
      <c r="D34" s="51" t="n">
        <f aca="false">C34</f>
        <v>0.822667735523552</v>
      </c>
      <c r="E34" s="50" t="s">
        <v>259</v>
      </c>
      <c r="F34" s="50" t="n">
        <v>1</v>
      </c>
    </row>
    <row r="35" customFormat="false" ht="15" hidden="false" customHeight="true" outlineLevel="0" collapsed="false">
      <c r="A35" s="50" t="n">
        <v>2</v>
      </c>
      <c r="B35" s="50" t="str">
        <f aca="false">INDEX($A$29:$A$31,MATCH(LARGE($C$29:$C$31,A35),$C$29:$C$31,0))</f>
        <v>Google Cloud</v>
      </c>
      <c r="C35" s="51" t="n">
        <f aca="false">INDEX($B$29:$B$31,MATCH(LARGE($C$29:$C$31,A35),$C$29:$C$31,0))</f>
        <v>0.769966226708075</v>
      </c>
      <c r="D35" s="51" t="n">
        <f aca="false">IF(E35="sim",D34,C35)</f>
        <v>0.769966226708075</v>
      </c>
      <c r="E35" s="52" t="str">
        <f aca="false">IF(ABS(C35-D34)&lt;=Parametros!$B$44,"sim","não")</f>
        <v>não</v>
      </c>
      <c r="F35" s="50" t="n">
        <f aca="false">IF(E35="sim",F34,A35)</f>
        <v>2</v>
      </c>
    </row>
    <row r="36" customFormat="false" ht="15" hidden="false" customHeight="true" outlineLevel="0" collapsed="false">
      <c r="A36" s="50" t="n">
        <v>3</v>
      </c>
      <c r="B36" s="50" t="str">
        <f aca="false">INDEX($A$29:$A$31,MATCH(LARGE($C$29:$C$31,A36),$C$29:$C$31,0))</f>
        <v>AWS</v>
      </c>
      <c r="C36" s="51" t="n">
        <f aca="false">INDEX($B$29:$B$31,MATCH(LARGE($C$29:$C$31,A36),$C$29:$C$31,0))</f>
        <v>0.746159897025172</v>
      </c>
      <c r="D36" s="51" t="n">
        <f aca="false">IF(E36="sim",D35,C36)</f>
        <v>0.746159897025172</v>
      </c>
      <c r="E36" s="52" t="str">
        <f aca="false">IF(ABS(C36-D35)&lt;=Parametros!$B$44,"sim","não")</f>
        <v>não</v>
      </c>
      <c r="F36" s="50" t="n">
        <f aca="false">IF(E36="sim",F35,A36)</f>
        <v>3</v>
      </c>
    </row>
    <row r="38" customFormat="false" ht="15" hidden="false" customHeight="true" outlineLevel="0" collapsed="false">
      <c r="A38" s="17" t="s">
        <v>260</v>
      </c>
      <c r="B38" s="32" t="str">
        <f aca="false">B34</f>
        <v>Microsoft Azure</v>
      </c>
    </row>
    <row r="39" customFormat="false" ht="15" hidden="false" customHeight="true" outlineLevel="0" collapsed="false">
      <c r="A39" s="17" t="s">
        <v>261</v>
      </c>
      <c r="B39" s="53" t="n">
        <f aca="false">C34-C35</f>
        <v>0.0527015088154779</v>
      </c>
    </row>
    <row r="40" customFormat="false" ht="15" hidden="false" customHeight="true" outlineLevel="0" collapsed="false">
      <c r="A40" s="17" t="s">
        <v>262</v>
      </c>
      <c r="B40" s="32" t="str">
        <f aca="false">E35</f>
        <v>não</v>
      </c>
    </row>
    <row r="41" customFormat="false" ht="15" hidden="false" customHeight="true" outlineLevel="0" collapsed="false">
      <c r="A41" s="17" t="s">
        <v>263</v>
      </c>
      <c r="B41" s="32" t="str">
        <f aca="false">IF(OR(E35="sim",E36="sim"),"sim","não")</f>
        <v>não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W2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2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2"/>
    <col collapsed="false" customWidth="true" hidden="false" outlineLevel="0" max="9" min="9" style="1" width="10"/>
    <col collapsed="false" customWidth="true" hidden="false" outlineLevel="0" max="13" min="10" style="1" width="12"/>
    <col collapsed="false" customWidth="true" hidden="false" outlineLevel="0" max="14" min="14" style="1" width="16"/>
    <col collapsed="false" customWidth="true" hidden="false" outlineLevel="0" max="15" min="15" style="1" width="12"/>
    <col collapsed="false" customWidth="true" hidden="false" outlineLevel="0" max="16" min="16" style="1" width="2"/>
    <col collapsed="false" customWidth="true" hidden="false" outlineLevel="0" max="17" min="17" style="1" width="10"/>
    <col collapsed="false" customWidth="true" hidden="false" outlineLevel="0" max="21" min="18" style="1" width="12"/>
    <col collapsed="false" customWidth="true" hidden="false" outlineLevel="0" max="22" min="22" style="1" width="16"/>
    <col collapsed="false" customWidth="true" hidden="false" outlineLevel="0" max="23" min="23" style="1" width="12"/>
  </cols>
  <sheetData>
    <row r="1" customFormat="false" ht="15.75" hidden="false" customHeight="true" outlineLevel="0" collapsed="false">
      <c r="A1" s="14" t="s">
        <v>264</v>
      </c>
    </row>
    <row r="2" customFormat="false" ht="15" hidden="false" customHeight="true" outlineLevel="0" collapsed="false">
      <c r="A2" s="15" t="s">
        <v>265</v>
      </c>
    </row>
    <row r="4" customFormat="false" ht="15" hidden="false" customHeight="true" outlineLevel="0" collapsed="false">
      <c r="A4" s="17" t="s">
        <v>266</v>
      </c>
      <c r="B4" s="40" t="str">
        <f aca="false">Pontuacao!B38</f>
        <v>Microsoft Azure</v>
      </c>
    </row>
    <row r="5" customFormat="false" ht="15" hidden="false" customHeight="true" outlineLevel="0" collapsed="false">
      <c r="A5" s="17" t="s">
        <v>267</v>
      </c>
      <c r="B5" s="17" t="n">
        <f aca="false">MATCH(B4,Pontuacao!$A$29:$A$31,0)</f>
        <v>3</v>
      </c>
    </row>
    <row r="6" customFormat="false" ht="15" hidden="false" customHeight="true" outlineLevel="0" collapsed="false">
      <c r="A6" s="17" t="s">
        <v>268</v>
      </c>
      <c r="B6" s="40" t="n">
        <f aca="false">Parametros!$B$48</f>
        <v>0.005</v>
      </c>
    </row>
    <row r="8" customFormat="false" ht="15" hidden="false" customHeight="true" outlineLevel="0" collapsed="false">
      <c r="A8" s="3" t="s">
        <v>269</v>
      </c>
    </row>
    <row r="9" customFormat="false" ht="15" hidden="false" customHeight="true" outlineLevel="0" collapsed="false">
      <c r="A9" s="16" t="s">
        <v>125</v>
      </c>
      <c r="B9" s="16" t="s">
        <v>270</v>
      </c>
      <c r="C9" s="16" t="s">
        <v>271</v>
      </c>
      <c r="D9" s="16" t="s">
        <v>272</v>
      </c>
      <c r="E9" s="16" t="s">
        <v>273</v>
      </c>
      <c r="F9" s="16" t="s">
        <v>274</v>
      </c>
      <c r="G9" s="16" t="s">
        <v>275</v>
      </c>
    </row>
    <row r="10" customFormat="false" ht="15" hidden="false" customHeight="true" outlineLevel="0" collapsed="false">
      <c r="A10" s="17" t="s">
        <v>112</v>
      </c>
      <c r="B10" s="54" t="n">
        <f aca="false">VLOOKUP(A10,AHP_Dimensoes!$A$20:$E$22,5,FALSE())</f>
        <v>0.0909090909090909</v>
      </c>
      <c r="C10" s="55" t="str">
        <f aca="false">IF(COUNT($G$17:$G$217)=0,"não","sim")</f>
        <v>não</v>
      </c>
      <c r="D10" s="56" t="str">
        <f aca="false">IF(C10="não","",MIN($G$17:$G$217))</f>
        <v/>
      </c>
      <c r="E10" s="56" t="str">
        <f aca="false">IF(C10="não","",F10-B10)</f>
        <v/>
      </c>
      <c r="F10" s="57" t="str">
        <f aca="false">IF(C10="não","",INDEX($A$17:$A$217,MATCH(D10,$G$17:$G$217,0)))</f>
        <v/>
      </c>
      <c r="G10" s="55" t="str">
        <f aca="false">IF(C10="não","",INDEX($F$17:$F$217,MATCH(D10,$G$17:$G$217,0)))</f>
        <v/>
      </c>
    </row>
    <row r="11" customFormat="false" ht="15" hidden="false" customHeight="true" outlineLevel="0" collapsed="false">
      <c r="A11" s="17" t="s">
        <v>113</v>
      </c>
      <c r="B11" s="54" t="n">
        <f aca="false">VLOOKUP(A11,AHP_Dimensoes!$A$20:$E$22,5,FALSE())</f>
        <v>0.0909090909090909</v>
      </c>
      <c r="C11" s="55" t="str">
        <f aca="false">IF(COUNT($O$17:$O$217)=0,"não","sim")</f>
        <v>sim</v>
      </c>
      <c r="D11" s="56" t="n">
        <f aca="false">IF(C11="não","",MIN($O$17:$O$217))</f>
        <v>0.909090909090909</v>
      </c>
      <c r="E11" s="56" t="n">
        <f aca="false">IF(C11="não","",F11-B11)</f>
        <v>0.909090909090909</v>
      </c>
      <c r="F11" s="57" t="n">
        <f aca="false">IF(C11="não","",INDEX($I$17:$I$217,MATCH(D11,$O$17:$O$217,0)))</f>
        <v>1</v>
      </c>
      <c r="G11" s="55" t="str">
        <f aca="false">IF(C11="não","",INDEX($N$17:$N$217,MATCH(D11,$O$17:$O$217,0)))</f>
        <v>AWS</v>
      </c>
    </row>
    <row r="12" customFormat="false" ht="15" hidden="false" customHeight="true" outlineLevel="0" collapsed="false">
      <c r="A12" s="17" t="s">
        <v>115</v>
      </c>
      <c r="B12" s="54" t="n">
        <f aca="false">VLOOKUP(A12,AHP_Dimensoes!$A$20:$E$22,5,FALSE())</f>
        <v>0.818181818181818</v>
      </c>
      <c r="C12" s="55" t="str">
        <f aca="false">IF(COUNT($W$17:$W$217)=0,"não","sim")</f>
        <v>não</v>
      </c>
      <c r="D12" s="56" t="str">
        <f aca="false">IF(C12="não","",MIN($W$17:$W$217))</f>
        <v/>
      </c>
      <c r="E12" s="56" t="str">
        <f aca="false">IF(C12="não","",F12-B12)</f>
        <v/>
      </c>
      <c r="F12" s="57" t="str">
        <f aca="false">IF(C12="não","",INDEX($Q$17:$Q$217,MATCH(D12,$W$17:$W$217,0)))</f>
        <v/>
      </c>
      <c r="G12" s="55" t="str">
        <f aca="false">IF(C12="não","",INDEX($V$17:$V$217,MATCH(D12,$W$17:$W$217,0)))</f>
        <v/>
      </c>
    </row>
    <row r="13" customFormat="false" ht="15" hidden="false" customHeight="true" outlineLevel="0" collapsed="false">
      <c r="A13" s="17" t="s">
        <v>276</v>
      </c>
      <c r="B13" s="27" t="str">
        <f aca="false">IF(COUNT(E10:E12)=0,"— (nenhuma troca o líder)",INDEX(A10:A12,MATCH(MIN(E10:E12),E10:E12,0)))</f>
        <v>Desempenho Operacional</v>
      </c>
      <c r="C13" s="58" t="s">
        <v>277</v>
      </c>
    </row>
    <row r="14" customFormat="false" ht="15" hidden="false" customHeight="true" outlineLevel="0" collapsed="false">
      <c r="A14" s="17" t="s">
        <v>278</v>
      </c>
      <c r="B14" s="27" t="str">
        <f aca="false">IF(COUNT(D10:D12)=0,"sim","não")</f>
        <v>não</v>
      </c>
    </row>
    <row r="15" customFormat="false" ht="15" hidden="false" customHeight="true" outlineLevel="0" collapsed="false">
      <c r="A15" s="59" t="s">
        <v>279</v>
      </c>
      <c r="B15" s="59"/>
      <c r="C15" s="59"/>
      <c r="D15" s="59"/>
      <c r="E15" s="59"/>
      <c r="F15" s="59"/>
      <c r="G15" s="59"/>
      <c r="I15" s="59" t="s">
        <v>280</v>
      </c>
      <c r="J15" s="59"/>
      <c r="K15" s="59"/>
      <c r="L15" s="59"/>
      <c r="M15" s="59"/>
      <c r="N15" s="59"/>
      <c r="O15" s="59"/>
      <c r="Q15" s="59" t="s">
        <v>281</v>
      </c>
      <c r="R15" s="59"/>
      <c r="S15" s="59"/>
      <c r="T15" s="59"/>
      <c r="U15" s="59"/>
      <c r="V15" s="59"/>
      <c r="W15" s="59"/>
    </row>
    <row r="16" customFormat="false" ht="15" hidden="false" customHeight="true" outlineLevel="0" collapsed="false">
      <c r="A16" s="16" t="s">
        <v>282</v>
      </c>
      <c r="B16" s="16" t="s">
        <v>283</v>
      </c>
      <c r="C16" s="16" t="s">
        <v>284</v>
      </c>
      <c r="D16" s="16" t="s">
        <v>285</v>
      </c>
      <c r="E16" s="16" t="s">
        <v>286</v>
      </c>
      <c r="F16" s="16" t="s">
        <v>260</v>
      </c>
      <c r="G16" s="16" t="s">
        <v>287</v>
      </c>
      <c r="I16" s="16" t="s">
        <v>282</v>
      </c>
      <c r="J16" s="16" t="s">
        <v>283</v>
      </c>
      <c r="K16" s="16" t="s">
        <v>284</v>
      </c>
      <c r="L16" s="16" t="s">
        <v>285</v>
      </c>
      <c r="M16" s="16" t="s">
        <v>286</v>
      </c>
      <c r="N16" s="16" t="s">
        <v>260</v>
      </c>
      <c r="O16" s="16" t="s">
        <v>287</v>
      </c>
      <c r="Q16" s="16" t="s">
        <v>282</v>
      </c>
      <c r="R16" s="16" t="s">
        <v>283</v>
      </c>
      <c r="S16" s="16" t="s">
        <v>284</v>
      </c>
      <c r="T16" s="16" t="s">
        <v>285</v>
      </c>
      <c r="U16" s="16" t="s">
        <v>286</v>
      </c>
      <c r="V16" s="16" t="s">
        <v>260</v>
      </c>
      <c r="W16" s="16" t="s">
        <v>287</v>
      </c>
    </row>
    <row r="17" customFormat="false" ht="15" hidden="false" customHeight="true" outlineLevel="0" collapsed="false">
      <c r="A17" s="60" t="n">
        <f aca="false">(ROW()-17)*$B$6</f>
        <v>0</v>
      </c>
      <c r="B17" s="43" t="n">
        <f aca="false">IFERROR(SUMPRODUCT(Normalizacao!$AL$5:$AL$17,Pesos_Indicadores!$I$5:$I$17,((Pesos_Indicadores!$B$5:$B$17=$A$10)*A17+(Pesos_Indicadores!$B$5:$B$17&lt;&gt;$A$10)*Pesos_Indicadores!$G$5:$G$17*(1-A17)/(1-$B$10))),0)</f>
        <v>0.976923076923077</v>
      </c>
      <c r="C17" s="60" t="n">
        <f aca="false">IF(B17=0,"",IFERROR(SUMPRODUCT(Normalizacao!$AL$5:$AL$17,Pesos_Indicadores!$I$5:$I$17,((Pesos_Indicadores!$B$5:$B$17=$A$10)*A17+(Pesos_Indicadores!$B$5:$B$17&lt;&gt;$A$10)*Pesos_Indicadores!$G$5:$G$17*(1-A17)/(1-$B$10)),Normalizacao!$AI$5:$AI$17)/B17,""))</f>
        <v>0.757874015748032</v>
      </c>
      <c r="D17" s="60" t="n">
        <f aca="false">IF(B17=0,"",IFERROR(SUMPRODUCT(Normalizacao!$AL$5:$AL$17,Pesos_Indicadores!$I$5:$I$17,((Pesos_Indicadores!$B$5:$B$17=$A$10)*A17+(Pesos_Indicadores!$B$5:$B$17&lt;&gt;$A$10)*Pesos_Indicadores!$G$5:$G$17*(1-A17)/(1-$B$10)),Normalizacao!$AJ$5:$AJ$17)/B17,""))</f>
        <v>0.757874015748032</v>
      </c>
      <c r="E17" s="60" t="n">
        <f aca="false">IF(B17=0,"",IFERROR(SUMPRODUCT(Normalizacao!$AL$5:$AL$17,Pesos_Indicadores!$I$5:$I$17,((Pesos_Indicadores!$B$5:$B$17=$A$10)*A17+(Pesos_Indicadores!$B$5:$B$17&lt;&gt;$A$10)*Pesos_Indicadores!$G$5:$G$17*(1-A17)/(1-$B$10)),Normalizacao!$AK$5:$AK$17)/B17,""))</f>
        <v>0.81542440661389</v>
      </c>
      <c r="F17" s="17" t="str">
        <f aca="false">IF(C17="","",IF(INDEX(C17:E17,$B$5)&gt;=MAX(C17:E17),$B$4,INDEX(Pontuacao!$A$29:$A$31,MATCH(MAX(C17:E17),C17:E17,0))))</f>
        <v>Microsoft Azure</v>
      </c>
      <c r="G17" s="43" t="str">
        <f aca="false">IF(OR(F17="",F17=$B$4,ABS(A17-$B$10)&lt;0.000000001),"",ABS(A17-$B$10))</f>
        <v/>
      </c>
      <c r="I17" s="60" t="n">
        <f aca="false">(ROW()-17)*$B$6</f>
        <v>0</v>
      </c>
      <c r="J17" s="43" t="n">
        <f aca="false">IFERROR(SUMPRODUCT(Normalizacao!$AL$5:$AL$17,Pesos_Indicadores!$I$5:$I$17,((Pesos_Indicadores!$B$5:$B$17=$A$11)*I17+(Pesos_Indicadores!$B$5:$B$17&lt;&gt;$A$11)*Pesos_Indicadores!$G$5:$G$17*(1-I17)/(1-$B$11))),0)</f>
        <v>1</v>
      </c>
      <c r="K17" s="60" t="n">
        <f aca="false">IF(J17=0,"",IFERROR(SUMPRODUCT(Normalizacao!$AL$5:$AL$17,Pesos_Indicadores!$I$5:$I$17,((Pesos_Indicadores!$B$5:$B$17=$A$11)*I17+(Pesos_Indicadores!$B$5:$B$17&lt;&gt;$A$11)*Pesos_Indicadores!$G$5:$G$17*(1-I17)/(1-$B$11)),Normalizacao!$AI$5:$AI$17)/J17,""))</f>
        <v>0.738172196796339</v>
      </c>
      <c r="L17" s="60" t="n">
        <f aca="false">IF(J17=0,"",IFERROR(SUMPRODUCT(Normalizacao!$AL$5:$AL$17,Pesos_Indicadores!$I$5:$I$17,((Pesos_Indicadores!$B$5:$B$17=$A$11)*I17+(Pesos_Indicadores!$B$5:$B$17&lt;&gt;$A$11)*Pesos_Indicadores!$G$5:$G$17*(1-I17)/(1-$B$11)),Normalizacao!$AJ$5:$AJ$17)/J17,""))</f>
        <v>0.763809782608696</v>
      </c>
      <c r="M17" s="60" t="n">
        <f aca="false">IF(J17=0,"",IFERROR(SUMPRODUCT(Normalizacao!$AL$5:$AL$17,Pesos_Indicadores!$I$5:$I$17,((Pesos_Indicadores!$B$5:$B$17=$A$11)*I17+(Pesos_Indicadores!$B$5:$B$17&lt;&gt;$A$11)*Pesos_Indicadores!$G$5:$G$17*(1-I17)/(1-$B$11)),Normalizacao!$AK$5:$AK$17)/J17,""))</f>
        <v>0.820592948717949</v>
      </c>
      <c r="N17" s="17" t="str">
        <f aca="false">IF(K17="","",IF(INDEX(K17:M17,$B$5)&gt;=MAX(K17:M17),$B$4,INDEX(Pontuacao!$A$29:$A$31,MATCH(MAX(K17:M17),K17:M17,0))))</f>
        <v>Microsoft Azure</v>
      </c>
      <c r="O17" s="43" t="str">
        <f aca="false">IF(OR(N17="",N17=$B$4,ABS(I17-$B$11)&lt;0.000000001),"",ABS(I17-$B$11))</f>
        <v/>
      </c>
      <c r="Q17" s="60" t="n">
        <f aca="false">(ROW()-17)*$B$6</f>
        <v>0</v>
      </c>
      <c r="R17" s="43" t="n">
        <f aca="false">IFERROR(SUMPRODUCT(Normalizacao!$AL$5:$AL$17,Pesos_Indicadores!$I$5:$I$17,((Pesos_Indicadores!$B$5:$B$17=$A$12)*Q17+(Pesos_Indicadores!$B$5:$B$17&lt;&gt;$A$12)*Pesos_Indicadores!$G$5:$G$17*(1-Q17)/(1-$B$12))),0)</f>
        <v>0.884615384615385</v>
      </c>
      <c r="S17" s="60" t="n">
        <f aca="false">IF(R17=0,"",IFERROR(SUMPRODUCT(Normalizacao!$AL$5:$AL$17,Pesos_Indicadores!$I$5:$I$17,((Pesos_Indicadores!$B$5:$B$17=$A$12)*Q17+(Pesos_Indicadores!$B$5:$B$17&lt;&gt;$A$12)*Pesos_Indicadores!$G$5:$G$17*(1-Q17)/(1-$B$12)),Normalizacao!$AI$5:$AI$17)/R17,""))</f>
        <v>0.726625460153219</v>
      </c>
      <c r="T17" s="60" t="n">
        <f aca="false">IF(R17=0,"",IFERROR(SUMPRODUCT(Normalizacao!$AL$5:$AL$17,Pesos_Indicadores!$I$5:$I$17,((Pesos_Indicadores!$B$5:$B$17=$A$12)*Q17+(Pesos_Indicadores!$B$5:$B$17&lt;&gt;$A$12)*Pesos_Indicadores!$G$5:$G$17*(1-Q17)/(1-$B$12)),Normalizacao!$AJ$5:$AJ$17)/R17,""))</f>
        <v>0.871533553875236</v>
      </c>
      <c r="U17" s="60" t="n">
        <f aca="false">IF(R17=0,"",IFERROR(SUMPRODUCT(Normalizacao!$AL$5:$AL$17,Pesos_Indicadores!$I$5:$I$17,((Pesos_Indicadores!$B$5:$B$17=$A$12)*Q17+(Pesos_Indicadores!$B$5:$B$17&lt;&gt;$A$12)*Pesos_Indicadores!$G$5:$G$17*(1-Q17)/(1-$B$12)),Normalizacao!$AK$5:$AK$17)/R17,""))</f>
        <v>0.874390564056406</v>
      </c>
      <c r="V17" s="17" t="str">
        <f aca="false">IF(S17="","",IF(INDEX(S17:U17,$B$5)&gt;=MAX(S17:U17),$B$4,INDEX(Pontuacao!$A$29:$A$31,MATCH(MAX(S17:U17),S17:U17,0))))</f>
        <v>Microsoft Azure</v>
      </c>
      <c r="W17" s="43" t="str">
        <f aca="false">IF(OR(V17="",V17=$B$4,ABS(Q17-$B$12)&lt;0.000000001),"",ABS(Q17-$B$12))</f>
        <v/>
      </c>
    </row>
    <row r="18" customFormat="false" ht="15" hidden="false" customHeight="true" outlineLevel="0" collapsed="false">
      <c r="A18" s="60" t="n">
        <f aca="false">(ROW()-17)*$B$6</f>
        <v>0.005</v>
      </c>
      <c r="B18" s="43" t="n">
        <f aca="false">IFERROR(SUMPRODUCT(Normalizacao!$AL$5:$AL$17,Pesos_Indicadores!$I$5:$I$17,((Pesos_Indicadores!$B$5:$B$17=$A$10)*A18+(Pesos_Indicadores!$B$5:$B$17&lt;&gt;$A$10)*Pesos_Indicadores!$G$5:$G$17*(1-A18)/(1-$B$10))),0)</f>
        <v>0.977038461538462</v>
      </c>
      <c r="C18" s="60" t="n">
        <f aca="false">IF(B18=0,"",IFERROR(SUMPRODUCT(Normalizacao!$AL$5:$AL$17,Pesos_Indicadores!$I$5:$I$17,((Pesos_Indicadores!$B$5:$B$17=$A$10)*A18+(Pesos_Indicadores!$B$5:$B$17&lt;&gt;$A$10)*Pesos_Indicadores!$G$5:$G$17*(1-A18)/(1-$B$10)),Normalizacao!$AI$5:$AI$17)/B18,""))</f>
        <v>0.757228431911004</v>
      </c>
      <c r="D18" s="60" t="n">
        <f aca="false">IF(B18=0,"",IFERROR(SUMPRODUCT(Normalizacao!$AL$5:$AL$17,Pesos_Indicadores!$I$5:$I$17,((Pesos_Indicadores!$B$5:$B$17=$A$10)*A18+(Pesos_Indicadores!$B$5:$B$17&lt;&gt;$A$10)*Pesos_Indicadores!$G$5:$G$17*(1-A18)/(1-$B$10)),Normalizacao!$AJ$5:$AJ$17)/B18,""))</f>
        <v>0.758540436853573</v>
      </c>
      <c r="E18" s="60" t="n">
        <f aca="false">IF(B18=0,"",IFERROR(SUMPRODUCT(Normalizacao!$AL$5:$AL$17,Pesos_Indicadores!$I$5:$I$17,((Pesos_Indicadores!$B$5:$B$17=$A$10)*A18+(Pesos_Indicadores!$B$5:$B$17&lt;&gt;$A$10)*Pesos_Indicadores!$G$5:$G$17*(1-A18)/(1-$B$10)),Normalizacao!$AK$5:$AK$17)/B18,""))</f>
        <v>0.815823598066613</v>
      </c>
      <c r="F18" s="17" t="str">
        <f aca="false">IF(C18="","",IF(INDEX(C18:E18,$B$5)&gt;=MAX(C18:E18),$B$4,INDEX(Pontuacao!$A$29:$A$31,MATCH(MAX(C18:E18),C18:E18,0))))</f>
        <v>Microsoft Azure</v>
      </c>
      <c r="G18" s="43" t="str">
        <f aca="false">IF(OR(F18="",F18=$B$4,ABS(A18-$B$10)&lt;0.000000001),"",ABS(A18-$B$10))</f>
        <v/>
      </c>
      <c r="I18" s="60" t="n">
        <f aca="false">(ROW()-17)*$B$6</f>
        <v>0.005</v>
      </c>
      <c r="J18" s="43" t="n">
        <f aca="false">IFERROR(SUMPRODUCT(Normalizacao!$AL$5:$AL$17,Pesos_Indicadores!$I$5:$I$17,((Pesos_Indicadores!$B$5:$B$17=$A$11)*I18+(Pesos_Indicadores!$B$5:$B$17&lt;&gt;$A$11)*Pesos_Indicadores!$G$5:$G$17*(1-I18)/(1-$B$11))),0)</f>
        <v>0.998846153846154</v>
      </c>
      <c r="K18" s="60" t="n">
        <f aca="false">IF(J18=0,"",IFERROR(SUMPRODUCT(Normalizacao!$AL$5:$AL$17,Pesos_Indicadores!$I$5:$I$17,((Pesos_Indicadores!$B$5:$B$17=$A$11)*I18+(Pesos_Indicadores!$B$5:$B$17&lt;&gt;$A$11)*Pesos_Indicadores!$G$5:$G$17*(1-I18)/(1-$B$11)),Normalizacao!$AI$5:$AI$17)/J18,""))</f>
        <v>0.73860280058226</v>
      </c>
      <c r="L18" s="60" t="n">
        <f aca="false">IF(J18=0,"",IFERROR(SUMPRODUCT(Normalizacao!$AL$5:$AL$17,Pesos_Indicadores!$I$5:$I$17,((Pesos_Indicadores!$B$5:$B$17=$A$11)*I18+(Pesos_Indicadores!$B$5:$B$17&lt;&gt;$A$11)*Pesos_Indicadores!$G$5:$G$17*(1-I18)/(1-$B$11)),Normalizacao!$AJ$5:$AJ$17)/J18,""))</f>
        <v>0.764141666387638</v>
      </c>
      <c r="M18" s="60" t="n">
        <f aca="false">IF(J18=0,"",IFERROR(SUMPRODUCT(Normalizacao!$AL$5:$AL$17,Pesos_Indicadores!$I$5:$I$17,((Pesos_Indicadores!$B$5:$B$17=$A$11)*I18+(Pesos_Indicadores!$B$5:$B$17&lt;&gt;$A$11)*Pesos_Indicadores!$G$5:$G$17*(1-I18)/(1-$B$11)),Normalizacao!$AK$5:$AK$17)/J18,""))</f>
        <v>0.820704797063264</v>
      </c>
      <c r="N18" s="17" t="str">
        <f aca="false">IF(K18="","",IF(INDEX(K18:M18,$B$5)&gt;=MAX(K18:M18),$B$4,INDEX(Pontuacao!$A$29:$A$31,MATCH(MAX(K18:M18),K18:M18,0))))</f>
        <v>Microsoft Azure</v>
      </c>
      <c r="O18" s="43" t="str">
        <f aca="false">IF(OR(N18="",N18=$B$4,ABS(I18-$B$11)&lt;0.000000001),"",ABS(I18-$B$11))</f>
        <v/>
      </c>
      <c r="Q18" s="60" t="n">
        <f aca="false">(ROW()-17)*$B$6</f>
        <v>0.005</v>
      </c>
      <c r="R18" s="43" t="n">
        <f aca="false">IFERROR(SUMPRODUCT(Normalizacao!$AL$5:$AL$17,Pesos_Indicadores!$I$5:$I$17,((Pesos_Indicadores!$B$5:$B$17=$A$12)*Q18+(Pesos_Indicadores!$B$5:$B$17&lt;&gt;$A$12)*Pesos_Indicadores!$G$5:$G$17*(1-Q18)/(1-$B$12))),0)</f>
        <v>0.885192307692308</v>
      </c>
      <c r="S18" s="60" t="n">
        <f aca="false">IF(R18=0,"",IFERROR(SUMPRODUCT(Normalizacao!$AL$5:$AL$17,Pesos_Indicadores!$I$5:$I$17,((Pesos_Indicadores!$B$5:$B$17=$A$12)*Q18+(Pesos_Indicadores!$B$5:$B$17&lt;&gt;$A$12)*Pesos_Indicadores!$G$5:$G$17*(1-Q18)/(1-$B$12)),Normalizacao!$AI$5:$AI$17)/R18,""))</f>
        <v>0.726757491010489</v>
      </c>
      <c r="T18" s="60" t="n">
        <f aca="false">IF(R18=0,"",IFERROR(SUMPRODUCT(Normalizacao!$AL$5:$AL$17,Pesos_Indicadores!$I$5:$I$17,((Pesos_Indicadores!$B$5:$B$17=$A$12)*Q18+(Pesos_Indicadores!$B$5:$B$17&lt;&gt;$A$12)*Pesos_Indicadores!$G$5:$G$17*(1-Q18)/(1-$B$12)),Normalizacao!$AJ$5:$AJ$17)/R18,""))</f>
        <v>0.870847072797514</v>
      </c>
      <c r="U18" s="60" t="n">
        <f aca="false">IF(R18=0,"",IFERROR(SUMPRODUCT(Normalizacao!$AL$5:$AL$17,Pesos_Indicadores!$I$5:$I$17,((Pesos_Indicadores!$B$5:$B$17=$A$12)*Q18+(Pesos_Indicadores!$B$5:$B$17&lt;&gt;$A$12)*Pesos_Indicadores!$G$5:$G$17*(1-Q18)/(1-$B$12)),Normalizacao!$AK$5:$AK$17)/R18,""))</f>
        <v>0.874040975817113</v>
      </c>
      <c r="V18" s="17" t="str">
        <f aca="false">IF(S18="","",IF(INDEX(S18:U18,$B$5)&gt;=MAX(S18:U18),$B$4,INDEX(Pontuacao!$A$29:$A$31,MATCH(MAX(S18:U18),S18:U18,0))))</f>
        <v>Microsoft Azure</v>
      </c>
      <c r="W18" s="43" t="str">
        <f aca="false">IF(OR(V18="",V18=$B$4,ABS(Q18-$B$12)&lt;0.000000001),"",ABS(Q18-$B$12))</f>
        <v/>
      </c>
    </row>
    <row r="19" customFormat="false" ht="15" hidden="false" customHeight="true" outlineLevel="0" collapsed="false">
      <c r="A19" s="60" t="n">
        <f aca="false">(ROW()-17)*$B$6</f>
        <v>0.01</v>
      </c>
      <c r="B19" s="43" t="n">
        <f aca="false">IFERROR(SUMPRODUCT(Normalizacao!$AL$5:$AL$17,Pesos_Indicadores!$I$5:$I$17,((Pesos_Indicadores!$B$5:$B$17=$A$10)*A19+(Pesos_Indicadores!$B$5:$B$17&lt;&gt;$A$10)*Pesos_Indicadores!$G$5:$G$17*(1-A19)/(1-$B$10))),0)</f>
        <v>0.977153846153846</v>
      </c>
      <c r="C19" s="60" t="n">
        <f aca="false">IF(B19=0,"",IFERROR(SUMPRODUCT(Normalizacao!$AL$5:$AL$17,Pesos_Indicadores!$I$5:$I$17,((Pesos_Indicadores!$B$5:$B$17=$A$10)*A19+(Pesos_Indicadores!$B$5:$B$17&lt;&gt;$A$10)*Pesos_Indicadores!$G$5:$G$17*(1-A19)/(1-$B$10)),Normalizacao!$AI$5:$AI$17)/B19,""))</f>
        <v>0.756583000538081</v>
      </c>
      <c r="D19" s="60" t="n">
        <f aca="false">IF(B19=0,"",IFERROR(SUMPRODUCT(Normalizacao!$AL$5:$AL$17,Pesos_Indicadores!$I$5:$I$17,((Pesos_Indicadores!$B$5:$B$17=$A$10)*A19+(Pesos_Indicadores!$B$5:$B$17&lt;&gt;$A$10)*Pesos_Indicadores!$G$5:$G$17*(1-A19)/(1-$B$10)),Normalizacao!$AJ$5:$AJ$17)/B19,""))</f>
        <v>0.759206700573983</v>
      </c>
      <c r="E19" s="60" t="n">
        <f aca="false">IF(B19=0,"",IFERROR(SUMPRODUCT(Normalizacao!$AL$5:$AL$17,Pesos_Indicadores!$I$5:$I$17,((Pesos_Indicadores!$B$5:$B$17=$A$10)*A19+(Pesos_Indicadores!$B$5:$B$17&lt;&gt;$A$10)*Pesos_Indicadores!$G$5:$G$17*(1-A19)/(1-$B$10)),Normalizacao!$AK$5:$AK$17)/B19,""))</f>
        <v>0.816222695244412</v>
      </c>
      <c r="F19" s="17" t="str">
        <f aca="false">IF(C19="","",IF(INDEX(C19:E19,$B$5)&gt;=MAX(C19:E19),$B$4,INDEX(Pontuacao!$A$29:$A$31,MATCH(MAX(C19:E19),C19:E19,0))))</f>
        <v>Microsoft Azure</v>
      </c>
      <c r="G19" s="43" t="str">
        <f aca="false">IF(OR(F19="",F19=$B$4,ABS(A19-$B$10)&lt;0.000000001),"",ABS(A19-$B$10))</f>
        <v/>
      </c>
      <c r="I19" s="60" t="n">
        <f aca="false">(ROW()-17)*$B$6</f>
        <v>0.01</v>
      </c>
      <c r="J19" s="43" t="n">
        <f aca="false">IFERROR(SUMPRODUCT(Normalizacao!$AL$5:$AL$17,Pesos_Indicadores!$I$5:$I$17,((Pesos_Indicadores!$B$5:$B$17=$A$11)*I19+(Pesos_Indicadores!$B$5:$B$17&lt;&gt;$A$11)*Pesos_Indicadores!$G$5:$G$17*(1-I19)/(1-$B$11))),0)</f>
        <v>0.997692307692308</v>
      </c>
      <c r="K19" s="60" t="n">
        <f aca="false">IF(J19=0,"",IFERROR(SUMPRODUCT(Normalizacao!$AL$5:$AL$17,Pesos_Indicadores!$I$5:$I$17,((Pesos_Indicadores!$B$5:$B$17=$A$11)*I19+(Pesos_Indicadores!$B$5:$B$17&lt;&gt;$A$11)*Pesos_Indicadores!$G$5:$G$17*(1-I19)/(1-$B$11)),Normalizacao!$AI$5:$AI$17)/J19,""))</f>
        <v>0.739034400367685</v>
      </c>
      <c r="L19" s="60" t="n">
        <f aca="false">IF(J19=0,"",IFERROR(SUMPRODUCT(Normalizacao!$AL$5:$AL$17,Pesos_Indicadores!$I$5:$I$17,((Pesos_Indicadores!$B$5:$B$17=$A$11)*I19+(Pesos_Indicadores!$B$5:$B$17&lt;&gt;$A$11)*Pesos_Indicadores!$G$5:$G$17*(1-I19)/(1-$B$11)),Normalizacao!$AJ$5:$AJ$17)/J19,""))</f>
        <v>0.764474317823741</v>
      </c>
      <c r="M19" s="60" t="n">
        <f aca="false">IF(J19=0,"",IFERROR(SUMPRODUCT(Normalizacao!$AL$5:$AL$17,Pesos_Indicadores!$I$5:$I$17,((Pesos_Indicadores!$B$5:$B$17=$A$11)*I19+(Pesos_Indicadores!$B$5:$B$17&lt;&gt;$A$11)*Pesos_Indicadores!$G$5:$G$17*(1-I19)/(1-$B$11)),Normalizacao!$AK$5:$AK$17)/J19,""))</f>
        <v>0.820816904117166</v>
      </c>
      <c r="N19" s="17" t="str">
        <f aca="false">IF(K19="","",IF(INDEX(K19:M19,$B$5)&gt;=MAX(K19:M19),$B$4,INDEX(Pontuacao!$A$29:$A$31,MATCH(MAX(K19:M19),K19:M19,0))))</f>
        <v>Microsoft Azure</v>
      </c>
      <c r="O19" s="43" t="str">
        <f aca="false">IF(OR(N19="",N19=$B$4,ABS(I19-$B$11)&lt;0.000000001),"",ABS(I19-$B$11))</f>
        <v/>
      </c>
      <c r="Q19" s="60" t="n">
        <f aca="false">(ROW()-17)*$B$6</f>
        <v>0.01</v>
      </c>
      <c r="R19" s="43" t="n">
        <f aca="false">IFERROR(SUMPRODUCT(Normalizacao!$AL$5:$AL$17,Pesos_Indicadores!$I$5:$I$17,((Pesos_Indicadores!$B$5:$B$17=$A$12)*Q19+(Pesos_Indicadores!$B$5:$B$17&lt;&gt;$A$12)*Pesos_Indicadores!$G$5:$G$17*(1-Q19)/(1-$B$12))),0)</f>
        <v>0.885769230769231</v>
      </c>
      <c r="S19" s="60" t="n">
        <f aca="false">IF(R19=0,"",IFERROR(SUMPRODUCT(Normalizacao!$AL$5:$AL$17,Pesos_Indicadores!$I$5:$I$17,((Pesos_Indicadores!$B$5:$B$17=$A$12)*Q19+(Pesos_Indicadores!$B$5:$B$17&lt;&gt;$A$12)*Pesos_Indicadores!$G$5:$G$17*(1-Q19)/(1-$B$12)),Normalizacao!$AI$5:$AI$17)/R19,""))</f>
        <v>0.726889349877933</v>
      </c>
      <c r="T19" s="60" t="n">
        <f aca="false">IF(R19=0,"",IFERROR(SUMPRODUCT(Normalizacao!$AL$5:$AL$17,Pesos_Indicadores!$I$5:$I$17,((Pesos_Indicadores!$B$5:$B$17=$A$12)*Q19+(Pesos_Indicadores!$B$5:$B$17&lt;&gt;$A$12)*Pesos_Indicadores!$G$5:$G$17*(1-Q19)/(1-$B$12)),Normalizacao!$AJ$5:$AJ$17)/R19,""))</f>
        <v>0.870161485963488</v>
      </c>
      <c r="U19" s="60" t="n">
        <f aca="false">IF(R19=0,"",IFERROR(SUMPRODUCT(Normalizacao!$AL$5:$AL$17,Pesos_Indicadores!$I$5:$I$17,((Pesos_Indicadores!$B$5:$B$17=$A$12)*Q19+(Pesos_Indicadores!$B$5:$B$17&lt;&gt;$A$12)*Pesos_Indicadores!$G$5:$G$17*(1-Q19)/(1-$B$12)),Normalizacao!$AK$5:$AK$17)/R19,""))</f>
        <v>0.873691842968491</v>
      </c>
      <c r="V19" s="17" t="str">
        <f aca="false">IF(S19="","",IF(INDEX(S19:U19,$B$5)&gt;=MAX(S19:U19),$B$4,INDEX(Pontuacao!$A$29:$A$31,MATCH(MAX(S19:U19),S19:U19,0))))</f>
        <v>Microsoft Azure</v>
      </c>
      <c r="W19" s="43" t="str">
        <f aca="false">IF(OR(V19="",V19=$B$4,ABS(Q19-$B$12)&lt;0.000000001),"",ABS(Q19-$B$12))</f>
        <v/>
      </c>
    </row>
    <row r="20" customFormat="false" ht="15" hidden="false" customHeight="true" outlineLevel="0" collapsed="false">
      <c r="A20" s="60" t="n">
        <f aca="false">(ROW()-17)*$B$6</f>
        <v>0.015</v>
      </c>
      <c r="B20" s="43" t="n">
        <f aca="false">IFERROR(SUMPRODUCT(Normalizacao!$AL$5:$AL$17,Pesos_Indicadores!$I$5:$I$17,((Pesos_Indicadores!$B$5:$B$17=$A$10)*A20+(Pesos_Indicadores!$B$5:$B$17&lt;&gt;$A$10)*Pesos_Indicadores!$G$5:$G$17*(1-A20)/(1-$B$10))),0)</f>
        <v>0.977269230769231</v>
      </c>
      <c r="C20" s="60" t="n">
        <f aca="false">IF(B20=0,"",IFERROR(SUMPRODUCT(Normalizacao!$AL$5:$AL$17,Pesos_Indicadores!$I$5:$I$17,((Pesos_Indicadores!$B$5:$B$17=$A$10)*A20+(Pesos_Indicadores!$B$5:$B$17&lt;&gt;$A$10)*Pesos_Indicadores!$G$5:$G$17*(1-A20)/(1-$B$10)),Normalizacao!$AI$5:$AI$17)/B20,""))</f>
        <v>0.755937721575258</v>
      </c>
      <c r="D20" s="60" t="n">
        <f aca="false">IF(B20=0,"",IFERROR(SUMPRODUCT(Normalizacao!$AL$5:$AL$17,Pesos_Indicadores!$I$5:$I$17,((Pesos_Indicadores!$B$5:$B$17=$A$10)*A20+(Pesos_Indicadores!$B$5:$B$17&lt;&gt;$A$10)*Pesos_Indicadores!$G$5:$G$17*(1-A20)/(1-$B$10)),Normalizacao!$AJ$5:$AJ$17)/B20,""))</f>
        <v>0.759872806965009</v>
      </c>
      <c r="E20" s="60" t="n">
        <f aca="false">IF(B20=0,"",IFERROR(SUMPRODUCT(Normalizacao!$AL$5:$AL$17,Pesos_Indicadores!$I$5:$I$17,((Pesos_Indicadores!$B$5:$B$17=$A$10)*A20+(Pesos_Indicadores!$B$5:$B$17&lt;&gt;$A$10)*Pesos_Indicadores!$G$5:$G$17*(1-A20)/(1-$B$10)),Normalizacao!$AK$5:$AK$17)/B20,""))</f>
        <v>0.81662169818068</v>
      </c>
      <c r="F20" s="17" t="str">
        <f aca="false">IF(C20="","",IF(INDEX(C20:E20,$B$5)&gt;=MAX(C20:E20),$B$4,INDEX(Pontuacao!$A$29:$A$31,MATCH(MAX(C20:E20),C20:E20,0))))</f>
        <v>Microsoft Azure</v>
      </c>
      <c r="G20" s="43" t="str">
        <f aca="false">IF(OR(F20="",F20=$B$4,ABS(A20-$B$10)&lt;0.000000001),"",ABS(A20-$B$10))</f>
        <v/>
      </c>
      <c r="I20" s="60" t="n">
        <f aca="false">(ROW()-17)*$B$6</f>
        <v>0.015</v>
      </c>
      <c r="J20" s="43" t="n">
        <f aca="false">IFERROR(SUMPRODUCT(Normalizacao!$AL$5:$AL$17,Pesos_Indicadores!$I$5:$I$17,((Pesos_Indicadores!$B$5:$B$17=$A$11)*I20+(Pesos_Indicadores!$B$5:$B$17&lt;&gt;$A$11)*Pesos_Indicadores!$G$5:$G$17*(1-I20)/(1-$B$11))),0)</f>
        <v>0.996538461538462</v>
      </c>
      <c r="K20" s="60" t="n">
        <f aca="false">IF(J20=0,"",IFERROR(SUMPRODUCT(Normalizacao!$AL$5:$AL$17,Pesos_Indicadores!$I$5:$I$17,((Pesos_Indicadores!$B$5:$B$17=$A$11)*I20+(Pesos_Indicadores!$B$5:$B$17&lt;&gt;$A$11)*Pesos_Indicadores!$G$5:$G$17*(1-I20)/(1-$B$11)),Normalizacao!$AI$5:$AI$17)/J20,""))</f>
        <v>0.739466999612282</v>
      </c>
      <c r="L20" s="60" t="n">
        <f aca="false">IF(J20=0,"",IFERROR(SUMPRODUCT(Normalizacao!$AL$5:$AL$17,Pesos_Indicadores!$I$5:$I$17,((Pesos_Indicadores!$B$5:$B$17=$A$11)*I20+(Pesos_Indicadores!$B$5:$B$17&lt;&gt;$A$11)*Pesos_Indicadores!$G$5:$G$17*(1-I20)/(1-$B$11)),Normalizacao!$AJ$5:$AJ$17)/J20,""))</f>
        <v>0.764807739583508</v>
      </c>
      <c r="M20" s="60" t="n">
        <f aca="false">IF(J20=0,"",IFERROR(SUMPRODUCT(Normalizacao!$AL$5:$AL$17,Pesos_Indicadores!$I$5:$I$17,((Pesos_Indicadores!$B$5:$B$17=$A$11)*I20+(Pesos_Indicadores!$B$5:$B$17&lt;&gt;$A$11)*Pesos_Indicadores!$G$5:$G$17*(1-I20)/(1-$B$11)),Normalizacao!$AK$5:$AK$17)/J20,""))</f>
        <v>0.820929270778294</v>
      </c>
      <c r="N20" s="17" t="str">
        <f aca="false">IF(K20="","",IF(INDEX(K20:M20,$B$5)&gt;=MAX(K20:M20),$B$4,INDEX(Pontuacao!$A$29:$A$31,MATCH(MAX(K20:M20),K20:M20,0))))</f>
        <v>Microsoft Azure</v>
      </c>
      <c r="O20" s="43" t="str">
        <f aca="false">IF(OR(N20="",N20=$B$4,ABS(I20-$B$11)&lt;0.000000001),"",ABS(I20-$B$11))</f>
        <v/>
      </c>
      <c r="Q20" s="60" t="n">
        <f aca="false">(ROW()-17)*$B$6</f>
        <v>0.015</v>
      </c>
      <c r="R20" s="43" t="n">
        <f aca="false">IFERROR(SUMPRODUCT(Normalizacao!$AL$5:$AL$17,Pesos_Indicadores!$I$5:$I$17,((Pesos_Indicadores!$B$5:$B$17=$A$12)*Q20+(Pesos_Indicadores!$B$5:$B$17&lt;&gt;$A$12)*Pesos_Indicadores!$G$5:$G$17*(1-Q20)/(1-$B$12))),0)</f>
        <v>0.886346153846154</v>
      </c>
      <c r="S20" s="60" t="n">
        <f aca="false">IF(R20=0,"",IFERROR(SUMPRODUCT(Normalizacao!$AL$5:$AL$17,Pesos_Indicadores!$I$5:$I$17,((Pesos_Indicadores!$B$5:$B$17=$A$12)*Q20+(Pesos_Indicadores!$B$5:$B$17&lt;&gt;$A$12)*Pesos_Indicadores!$G$5:$G$17*(1-Q20)/(1-$B$12)),Normalizacao!$AI$5:$AI$17)/R20,""))</f>
        <v>0.727021037091394</v>
      </c>
      <c r="T20" s="60" t="n">
        <f aca="false">IF(R20=0,"",IFERROR(SUMPRODUCT(Normalizacao!$AL$5:$AL$17,Pesos_Indicadores!$I$5:$I$17,((Pesos_Indicadores!$B$5:$B$17=$A$12)*Q20+(Pesos_Indicadores!$B$5:$B$17&lt;&gt;$A$12)*Pesos_Indicadores!$G$5:$G$17*(1-Q20)/(1-$B$12)),Normalizacao!$AJ$5:$AJ$17)/R20,""))</f>
        <v>0.869476791626968</v>
      </c>
      <c r="U20" s="60" t="n">
        <f aca="false">IF(R20=0,"",IFERROR(SUMPRODUCT(Normalizacao!$AL$5:$AL$17,Pesos_Indicadores!$I$5:$I$17,((Pesos_Indicadores!$B$5:$B$17=$A$12)*Q20+(Pesos_Indicadores!$B$5:$B$17&lt;&gt;$A$12)*Pesos_Indicadores!$G$5:$G$17*(1-Q20)/(1-$B$12)),Normalizacao!$AK$5:$AK$17)/R20,""))</f>
        <v>0.873343164621301</v>
      </c>
      <c r="V20" s="17" t="str">
        <f aca="false">IF(S20="","",IF(INDEX(S20:U20,$B$5)&gt;=MAX(S20:U20),$B$4,INDEX(Pontuacao!$A$29:$A$31,MATCH(MAX(S20:U20),S20:U20,0))))</f>
        <v>Microsoft Azure</v>
      </c>
      <c r="W20" s="43" t="str">
        <f aca="false">IF(OR(V20="",V20=$B$4,ABS(Q20-$B$12)&lt;0.000000001),"",ABS(Q20-$B$12))</f>
        <v/>
      </c>
    </row>
    <row r="21" customFormat="false" ht="15" hidden="false" customHeight="true" outlineLevel="0" collapsed="false">
      <c r="A21" s="60" t="n">
        <f aca="false">(ROW()-17)*$B$6</f>
        <v>0.02</v>
      </c>
      <c r="B21" s="43" t="n">
        <f aca="false">IFERROR(SUMPRODUCT(Normalizacao!$AL$5:$AL$17,Pesos_Indicadores!$I$5:$I$17,((Pesos_Indicadores!$B$5:$B$17=$A$10)*A21+(Pesos_Indicadores!$B$5:$B$17&lt;&gt;$A$10)*Pesos_Indicadores!$G$5:$G$17*(1-A21)/(1-$B$10))),0)</f>
        <v>0.977384615384616</v>
      </c>
      <c r="C21" s="60" t="n">
        <f aca="false">IF(B21=0,"",IFERROR(SUMPRODUCT(Normalizacao!$AL$5:$AL$17,Pesos_Indicadores!$I$5:$I$17,((Pesos_Indicadores!$B$5:$B$17=$A$10)*A21+(Pesos_Indicadores!$B$5:$B$17&lt;&gt;$A$10)*Pesos_Indicadores!$G$5:$G$17*(1-A21)/(1-$B$10)),Normalizacao!$AI$5:$AI$17)/B21,""))</f>
        <v>0.755292594968557</v>
      </c>
      <c r="D21" s="60" t="n">
        <f aca="false">IF(B21=0,"",IFERROR(SUMPRODUCT(Normalizacao!$AL$5:$AL$17,Pesos_Indicadores!$I$5:$I$17,((Pesos_Indicadores!$B$5:$B$17=$A$10)*A21+(Pesos_Indicadores!$B$5:$B$17&lt;&gt;$A$10)*Pesos_Indicadores!$G$5:$G$17*(1-A21)/(1-$B$10)),Normalizacao!$AJ$5:$AJ$17)/B21,""))</f>
        <v>0.760538756082371</v>
      </c>
      <c r="E21" s="60" t="n">
        <f aca="false">IF(B21=0,"",IFERROR(SUMPRODUCT(Normalizacao!$AL$5:$AL$17,Pesos_Indicadores!$I$5:$I$17,((Pesos_Indicadores!$B$5:$B$17=$A$10)*A21+(Pesos_Indicadores!$B$5:$B$17&lt;&gt;$A$10)*Pesos_Indicadores!$G$5:$G$17*(1-A21)/(1-$B$10)),Normalizacao!$AK$5:$AK$17)/B21,""))</f>
        <v>0.817020606908794</v>
      </c>
      <c r="F21" s="17" t="str">
        <f aca="false">IF(C21="","",IF(INDEX(C21:E21,$B$5)&gt;=MAX(C21:E21),$B$4,INDEX(Pontuacao!$A$29:$A$31,MATCH(MAX(C21:E21),C21:E21,0))))</f>
        <v>Microsoft Azure</v>
      </c>
      <c r="G21" s="43" t="str">
        <f aca="false">IF(OR(F21="",F21=$B$4,ABS(A21-$B$10)&lt;0.000000001),"",ABS(A21-$B$10))</f>
        <v/>
      </c>
      <c r="I21" s="60" t="n">
        <f aca="false">(ROW()-17)*$B$6</f>
        <v>0.02</v>
      </c>
      <c r="J21" s="43" t="n">
        <f aca="false">IFERROR(SUMPRODUCT(Normalizacao!$AL$5:$AL$17,Pesos_Indicadores!$I$5:$I$17,((Pesos_Indicadores!$B$5:$B$17=$A$11)*I21+(Pesos_Indicadores!$B$5:$B$17&lt;&gt;$A$11)*Pesos_Indicadores!$G$5:$G$17*(1-I21)/(1-$B$11))),0)</f>
        <v>0.995384615384616</v>
      </c>
      <c r="K21" s="60" t="n">
        <f aca="false">IF(J21=0,"",IFERROR(SUMPRODUCT(Normalizacao!$AL$5:$AL$17,Pesos_Indicadores!$I$5:$I$17,((Pesos_Indicadores!$B$5:$B$17=$A$11)*I21+(Pesos_Indicadores!$B$5:$B$17&lt;&gt;$A$11)*Pesos_Indicadores!$G$5:$G$17*(1-I21)/(1-$B$11)),Normalizacao!$AI$5:$AI$17)/J21,""))</f>
        <v>0.739900601791758</v>
      </c>
      <c r="L21" s="60" t="n">
        <f aca="false">IF(J21=0,"",IFERROR(SUMPRODUCT(Normalizacao!$AL$5:$AL$17,Pesos_Indicadores!$I$5:$I$17,((Pesos_Indicadores!$B$5:$B$17=$A$11)*I21+(Pesos_Indicadores!$B$5:$B$17&lt;&gt;$A$11)*Pesos_Indicadores!$G$5:$G$17*(1-I21)/(1-$B$11)),Normalizacao!$AJ$5:$AJ$17)/J21,""))</f>
        <v>0.76514193434581</v>
      </c>
      <c r="M21" s="60" t="n">
        <f aca="false">IF(J21=0,"",IFERROR(SUMPRODUCT(Normalizacao!$AL$5:$AL$17,Pesos_Indicadores!$I$5:$I$17,((Pesos_Indicadores!$B$5:$B$17=$A$11)*I21+(Pesos_Indicadores!$B$5:$B$17&lt;&gt;$A$11)*Pesos_Indicadores!$G$5:$G$17*(1-I21)/(1-$B$11)),Normalizacao!$AK$5:$AK$17)/J21,""))</f>
        <v>0.821041897949455</v>
      </c>
      <c r="N21" s="17" t="str">
        <f aca="false">IF(K21="","",IF(INDEX(K21:M21,$B$5)&gt;=MAX(K21:M21),$B$4,INDEX(Pontuacao!$A$29:$A$31,MATCH(MAX(K21:M21),K21:M21,0))))</f>
        <v>Microsoft Azure</v>
      </c>
      <c r="O21" s="43" t="str">
        <f aca="false">IF(OR(N21="",N21=$B$4,ABS(I21-$B$11)&lt;0.000000001),"",ABS(I21-$B$11))</f>
        <v/>
      </c>
      <c r="Q21" s="60" t="n">
        <f aca="false">(ROW()-17)*$B$6</f>
        <v>0.02</v>
      </c>
      <c r="R21" s="43" t="n">
        <f aca="false">IFERROR(SUMPRODUCT(Normalizacao!$AL$5:$AL$17,Pesos_Indicadores!$I$5:$I$17,((Pesos_Indicadores!$B$5:$B$17=$A$12)*Q21+(Pesos_Indicadores!$B$5:$B$17&lt;&gt;$A$12)*Pesos_Indicadores!$G$5:$G$17*(1-Q21)/(1-$B$12))),0)</f>
        <v>0.886923076923077</v>
      </c>
      <c r="S21" s="60" t="n">
        <f aca="false">IF(R21=0,"",IFERROR(SUMPRODUCT(Normalizacao!$AL$5:$AL$17,Pesos_Indicadores!$I$5:$I$17,((Pesos_Indicadores!$B$5:$B$17=$A$12)*Q21+(Pesos_Indicadores!$B$5:$B$17&lt;&gt;$A$12)*Pesos_Indicadores!$G$5:$G$17*(1-Q21)/(1-$B$12)),Normalizacao!$AI$5:$AI$17)/R21,""))</f>
        <v>0.727152552985843</v>
      </c>
      <c r="T21" s="60" t="n">
        <f aca="false">IF(R21=0,"",IFERROR(SUMPRODUCT(Normalizacao!$AL$5:$AL$17,Pesos_Indicadores!$I$5:$I$17,((Pesos_Indicadores!$B$5:$B$17=$A$12)*Q21+(Pesos_Indicadores!$B$5:$B$17&lt;&gt;$A$12)*Pesos_Indicadores!$G$5:$G$17*(1-Q21)/(1-$B$12)),Normalizacao!$AJ$5:$AJ$17)/R21,""))</f>
        <v>0.868792988046306</v>
      </c>
      <c r="U21" s="60" t="n">
        <f aca="false">IF(R21=0,"",IFERROR(SUMPRODUCT(Normalizacao!$AL$5:$AL$17,Pesos_Indicadores!$I$5:$I$17,((Pesos_Indicadores!$B$5:$B$17=$A$12)*Q21+(Pesos_Indicadores!$B$5:$B$17&lt;&gt;$A$12)*Pesos_Indicadores!$G$5:$G$17*(1-Q21)/(1-$B$12)),Normalizacao!$AK$5:$AK$17)/R21,""))</f>
        <v>0.872994939888611</v>
      </c>
      <c r="V21" s="17" t="str">
        <f aca="false">IF(S21="","",IF(INDEX(S21:U21,$B$5)&gt;=MAX(S21:U21),$B$4,INDEX(Pontuacao!$A$29:$A$31,MATCH(MAX(S21:U21),S21:U21,0))))</f>
        <v>Microsoft Azure</v>
      </c>
      <c r="W21" s="43" t="str">
        <f aca="false">IF(OR(V21="",V21=$B$4,ABS(Q21-$B$12)&lt;0.000000001),"",ABS(Q21-$B$12))</f>
        <v/>
      </c>
    </row>
    <row r="22" customFormat="false" ht="15" hidden="false" customHeight="true" outlineLevel="0" collapsed="false">
      <c r="A22" s="60" t="n">
        <f aca="false">(ROW()-17)*$B$6</f>
        <v>0.025</v>
      </c>
      <c r="B22" s="43" t="n">
        <f aca="false">IFERROR(SUMPRODUCT(Normalizacao!$AL$5:$AL$17,Pesos_Indicadores!$I$5:$I$17,((Pesos_Indicadores!$B$5:$B$17=$A$10)*A22+(Pesos_Indicadores!$B$5:$B$17&lt;&gt;$A$10)*Pesos_Indicadores!$G$5:$G$17*(1-A22)/(1-$B$10))),0)</f>
        <v>0.9775</v>
      </c>
      <c r="C22" s="60" t="n">
        <f aca="false">IF(B22=0,"",IFERROR(SUMPRODUCT(Normalizacao!$AL$5:$AL$17,Pesos_Indicadores!$I$5:$I$17,((Pesos_Indicadores!$B$5:$B$17=$A$10)*A22+(Pesos_Indicadores!$B$5:$B$17&lt;&gt;$A$10)*Pesos_Indicadores!$G$5:$G$17*(1-A22)/(1-$B$10)),Normalizacao!$AI$5:$AI$17)/B22,""))</f>
        <v>0.754647620664025</v>
      </c>
      <c r="D22" s="60" t="n">
        <f aca="false">IF(B22=0,"",IFERROR(SUMPRODUCT(Normalizacao!$AL$5:$AL$17,Pesos_Indicadores!$I$5:$I$17,((Pesos_Indicadores!$B$5:$B$17=$A$10)*A22+(Pesos_Indicadores!$B$5:$B$17&lt;&gt;$A$10)*Pesos_Indicadores!$G$5:$G$17*(1-A22)/(1-$B$10)),Normalizacao!$AJ$5:$AJ$17)/B22,""))</f>
        <v>0.761204547981764</v>
      </c>
      <c r="E22" s="60" t="n">
        <f aca="false">IF(B22=0,"",IFERROR(SUMPRODUCT(Normalizacao!$AL$5:$AL$17,Pesos_Indicadores!$I$5:$I$17,((Pesos_Indicadores!$B$5:$B$17=$A$10)*A22+(Pesos_Indicadores!$B$5:$B$17&lt;&gt;$A$10)*Pesos_Indicadores!$G$5:$G$17*(1-A22)/(1-$B$10)),Normalizacao!$AK$5:$AK$17)/B22,""))</f>
        <v>0.817419421462115</v>
      </c>
      <c r="F22" s="17" t="str">
        <f aca="false">IF(C22="","",IF(INDEX(C22:E22,$B$5)&gt;=MAX(C22:E22),$B$4,INDEX(Pontuacao!$A$29:$A$31,MATCH(MAX(C22:E22),C22:E22,0))))</f>
        <v>Microsoft Azure</v>
      </c>
      <c r="G22" s="43" t="str">
        <f aca="false">IF(OR(F22="",F22=$B$4,ABS(A22-$B$10)&lt;0.000000001),"",ABS(A22-$B$10))</f>
        <v/>
      </c>
      <c r="I22" s="60" t="n">
        <f aca="false">(ROW()-17)*$B$6</f>
        <v>0.025</v>
      </c>
      <c r="J22" s="43" t="n">
        <f aca="false">IFERROR(SUMPRODUCT(Normalizacao!$AL$5:$AL$17,Pesos_Indicadores!$I$5:$I$17,((Pesos_Indicadores!$B$5:$B$17=$A$11)*I22+(Pesos_Indicadores!$B$5:$B$17&lt;&gt;$A$11)*Pesos_Indicadores!$G$5:$G$17*(1-I22)/(1-$B$11))),0)</f>
        <v>0.994230769230769</v>
      </c>
      <c r="K22" s="60" t="n">
        <f aca="false">IF(J22=0,"",IFERROR(SUMPRODUCT(Normalizacao!$AL$5:$AL$17,Pesos_Indicadores!$I$5:$I$17,((Pesos_Indicadores!$B$5:$B$17=$A$11)*I22+(Pesos_Indicadores!$B$5:$B$17&lt;&gt;$A$11)*Pesos_Indicadores!$G$5:$G$17*(1-I22)/(1-$B$11)),Normalizacao!$AI$5:$AI$17)/J22,""))</f>
        <v>0.740335210397957</v>
      </c>
      <c r="L22" s="60" t="n">
        <f aca="false">IF(J22=0,"",IFERROR(SUMPRODUCT(Normalizacao!$AL$5:$AL$17,Pesos_Indicadores!$I$5:$I$17,((Pesos_Indicadores!$B$5:$B$17=$A$11)*I22+(Pesos_Indicadores!$B$5:$B$17&lt;&gt;$A$11)*Pesos_Indicadores!$G$5:$G$17*(1-I22)/(1-$B$11)),Normalizacao!$AJ$5:$AJ$17)/J22,""))</f>
        <v>0.765476904801951</v>
      </c>
      <c r="M22" s="60" t="n">
        <f aca="false">IF(J22=0,"",IFERROR(SUMPRODUCT(Normalizacao!$AL$5:$AL$17,Pesos_Indicadores!$I$5:$I$17,((Pesos_Indicadores!$B$5:$B$17=$A$11)*I22+(Pesos_Indicadores!$B$5:$B$17&lt;&gt;$A$11)*Pesos_Indicadores!$G$5:$G$17*(1-I22)/(1-$B$11)),Normalizacao!$AK$5:$AK$17)/J22,""))</f>
        <v>0.821154786537648</v>
      </c>
      <c r="N22" s="17" t="str">
        <f aca="false">IF(K22="","",IF(INDEX(K22:M22,$B$5)&gt;=MAX(K22:M22),$B$4,INDEX(Pontuacao!$A$29:$A$31,MATCH(MAX(K22:M22),K22:M22,0))))</f>
        <v>Microsoft Azure</v>
      </c>
      <c r="O22" s="43" t="str">
        <f aca="false">IF(OR(N22="",N22=$B$4,ABS(I22-$B$11)&lt;0.000000001),"",ABS(I22-$B$11))</f>
        <v/>
      </c>
      <c r="Q22" s="60" t="n">
        <f aca="false">(ROW()-17)*$B$6</f>
        <v>0.025</v>
      </c>
      <c r="R22" s="43" t="n">
        <f aca="false">IFERROR(SUMPRODUCT(Normalizacao!$AL$5:$AL$17,Pesos_Indicadores!$I$5:$I$17,((Pesos_Indicadores!$B$5:$B$17=$A$12)*Q22+(Pesos_Indicadores!$B$5:$B$17&lt;&gt;$A$12)*Pesos_Indicadores!$G$5:$G$17*(1-Q22)/(1-$B$12))),0)</f>
        <v>0.8875</v>
      </c>
      <c r="S22" s="60" t="n">
        <f aca="false">IF(R22=0,"",IFERROR(SUMPRODUCT(Normalizacao!$AL$5:$AL$17,Pesos_Indicadores!$I$5:$I$17,((Pesos_Indicadores!$B$5:$B$17=$A$12)*Q22+(Pesos_Indicadores!$B$5:$B$17&lt;&gt;$A$12)*Pesos_Indicadores!$G$5:$G$17*(1-Q22)/(1-$B$12)),Normalizacao!$AI$5:$AI$17)/R22,""))</f>
        <v>0.727283897895382</v>
      </c>
      <c r="T22" s="60" t="n">
        <f aca="false">IF(R22=0,"",IFERROR(SUMPRODUCT(Normalizacao!$AL$5:$AL$17,Pesos_Indicadores!$I$5:$I$17,((Pesos_Indicadores!$B$5:$B$17=$A$12)*Q22+(Pesos_Indicadores!$B$5:$B$17&lt;&gt;$A$12)*Pesos_Indicadores!$G$5:$G$17*(1-Q22)/(1-$B$12)),Normalizacao!$AJ$5:$AJ$17)/R22,""))</f>
        <v>0.868110073484385</v>
      </c>
      <c r="U22" s="60" t="n">
        <f aca="false">IF(R22=0,"",IFERROR(SUMPRODUCT(Normalizacao!$AL$5:$AL$17,Pesos_Indicadores!$I$5:$I$17,((Pesos_Indicadores!$B$5:$B$17=$A$12)*Q22+(Pesos_Indicadores!$B$5:$B$17&lt;&gt;$A$12)*Pesos_Indicadores!$G$5:$G$17*(1-Q22)/(1-$B$12)),Normalizacao!$AK$5:$AK$17)/R22,""))</f>
        <v>0.872647167885803</v>
      </c>
      <c r="V22" s="17" t="str">
        <f aca="false">IF(S22="","",IF(INDEX(S22:U22,$B$5)&gt;=MAX(S22:U22),$B$4,INDEX(Pontuacao!$A$29:$A$31,MATCH(MAX(S22:U22),S22:U22,0))))</f>
        <v>Microsoft Azure</v>
      </c>
      <c r="W22" s="43" t="str">
        <f aca="false">IF(OR(V22="",V22=$B$4,ABS(Q22-$B$12)&lt;0.000000001),"",ABS(Q22-$B$12))</f>
        <v/>
      </c>
    </row>
    <row r="23" customFormat="false" ht="15" hidden="false" customHeight="true" outlineLevel="0" collapsed="false">
      <c r="A23" s="60" t="n">
        <f aca="false">(ROW()-17)*$B$6</f>
        <v>0.03</v>
      </c>
      <c r="B23" s="43" t="n">
        <f aca="false">IFERROR(SUMPRODUCT(Normalizacao!$AL$5:$AL$17,Pesos_Indicadores!$I$5:$I$17,((Pesos_Indicadores!$B$5:$B$17=$A$10)*A23+(Pesos_Indicadores!$B$5:$B$17&lt;&gt;$A$10)*Pesos_Indicadores!$G$5:$G$17*(1-A23)/(1-$B$10))),0)</f>
        <v>0.977615384615385</v>
      </c>
      <c r="C23" s="60" t="n">
        <f aca="false">IF(B23=0,"",IFERROR(SUMPRODUCT(Normalizacao!$AL$5:$AL$17,Pesos_Indicadores!$I$5:$I$17,((Pesos_Indicadores!$B$5:$B$17=$A$10)*A23+(Pesos_Indicadores!$B$5:$B$17&lt;&gt;$A$10)*Pesos_Indicadores!$G$5:$G$17*(1-A23)/(1-$B$10)),Normalizacao!$AI$5:$AI$17)/B23,""))</f>
        <v>0.754002798607736</v>
      </c>
      <c r="D23" s="60" t="n">
        <f aca="false">IF(B23=0,"",IFERROR(SUMPRODUCT(Normalizacao!$AL$5:$AL$17,Pesos_Indicadores!$I$5:$I$17,((Pesos_Indicadores!$B$5:$B$17=$A$10)*A23+(Pesos_Indicadores!$B$5:$B$17&lt;&gt;$A$10)*Pesos_Indicadores!$G$5:$G$17*(1-A23)/(1-$B$10)),Normalizacao!$AJ$5:$AJ$17)/B23,""))</f>
        <v>0.761870182718854</v>
      </c>
      <c r="E23" s="60" t="n">
        <f aca="false">IF(B23=0,"",IFERROR(SUMPRODUCT(Normalizacao!$AL$5:$AL$17,Pesos_Indicadores!$I$5:$I$17,((Pesos_Indicadores!$B$5:$B$17=$A$10)*A23+(Pesos_Indicadores!$B$5:$B$17&lt;&gt;$A$10)*Pesos_Indicadores!$G$5:$G$17*(1-A23)/(1-$B$10)),Normalizacao!$AK$5:$AK$17)/B23,""))</f>
        <v>0.817818141873988</v>
      </c>
      <c r="F23" s="17" t="str">
        <f aca="false">IF(C23="","",IF(INDEX(C23:E23,$B$5)&gt;=MAX(C23:E23),$B$4,INDEX(Pontuacao!$A$29:$A$31,MATCH(MAX(C23:E23),C23:E23,0))))</f>
        <v>Microsoft Azure</v>
      </c>
      <c r="G23" s="43" t="str">
        <f aca="false">IF(OR(F23="",F23=$B$4,ABS(A23-$B$10)&lt;0.000000001),"",ABS(A23-$B$10))</f>
        <v/>
      </c>
      <c r="I23" s="60" t="n">
        <f aca="false">(ROW()-17)*$B$6</f>
        <v>0.03</v>
      </c>
      <c r="J23" s="43" t="n">
        <f aca="false">IFERROR(SUMPRODUCT(Normalizacao!$AL$5:$AL$17,Pesos_Indicadores!$I$5:$I$17,((Pesos_Indicadores!$B$5:$B$17=$A$11)*I23+(Pesos_Indicadores!$B$5:$B$17&lt;&gt;$A$11)*Pesos_Indicadores!$G$5:$G$17*(1-I23)/(1-$B$11))),0)</f>
        <v>0.993076923076923</v>
      </c>
      <c r="K23" s="60" t="n">
        <f aca="false">IF(J23=0,"",IFERROR(SUMPRODUCT(Normalizacao!$AL$5:$AL$17,Pesos_Indicadores!$I$5:$I$17,((Pesos_Indicadores!$B$5:$B$17=$A$11)*I23+(Pesos_Indicadores!$B$5:$B$17&lt;&gt;$A$11)*Pesos_Indicadores!$G$5:$G$17*(1-I23)/(1-$B$11)),Normalizacao!$AI$5:$AI$17)/J23,""))</f>
        <v>0.740770828938949</v>
      </c>
      <c r="L23" s="60" t="n">
        <f aca="false">IF(J23=0,"",IFERROR(SUMPRODUCT(Normalizacao!$AL$5:$AL$17,Pesos_Indicadores!$I$5:$I$17,((Pesos_Indicadores!$B$5:$B$17=$A$11)*I23+(Pesos_Indicadores!$B$5:$B$17&lt;&gt;$A$11)*Pesos_Indicadores!$G$5:$G$17*(1-I23)/(1-$B$11)),Normalizacao!$AJ$5:$AJ$17)/J23,""))</f>
        <v>0.765812653655744</v>
      </c>
      <c r="M23" s="60" t="n">
        <f aca="false">IF(J23=0,"",IFERROR(SUMPRODUCT(Normalizacao!$AL$5:$AL$17,Pesos_Indicadores!$I$5:$I$17,((Pesos_Indicadores!$B$5:$B$17=$A$11)*I23+(Pesos_Indicadores!$B$5:$B$17&lt;&gt;$A$11)*Pesos_Indicadores!$G$5:$G$17*(1-I23)/(1-$B$11)),Normalizacao!$AK$5:$AK$17)/J23,""))</f>
        <v>0.821267937454086</v>
      </c>
      <c r="N23" s="17" t="str">
        <f aca="false">IF(K23="","",IF(INDEX(K23:M23,$B$5)&gt;=MAX(K23:M23),$B$4,INDEX(Pontuacao!$A$29:$A$31,MATCH(MAX(K23:M23),K23:M23,0))))</f>
        <v>Microsoft Azure</v>
      </c>
      <c r="O23" s="43" t="str">
        <f aca="false">IF(OR(N23="",N23=$B$4,ABS(I23-$B$11)&lt;0.000000001),"",ABS(I23-$B$11))</f>
        <v/>
      </c>
      <c r="Q23" s="60" t="n">
        <f aca="false">(ROW()-17)*$B$6</f>
        <v>0.03</v>
      </c>
      <c r="R23" s="43" t="n">
        <f aca="false">IFERROR(SUMPRODUCT(Normalizacao!$AL$5:$AL$17,Pesos_Indicadores!$I$5:$I$17,((Pesos_Indicadores!$B$5:$B$17=$A$12)*Q23+(Pesos_Indicadores!$B$5:$B$17&lt;&gt;$A$12)*Pesos_Indicadores!$G$5:$G$17*(1-Q23)/(1-$B$12))),0)</f>
        <v>0.888076923076923</v>
      </c>
      <c r="S23" s="60" t="n">
        <f aca="false">IF(R23=0,"",IFERROR(SUMPRODUCT(Normalizacao!$AL$5:$AL$17,Pesos_Indicadores!$I$5:$I$17,((Pesos_Indicadores!$B$5:$B$17=$A$12)*Q23+(Pesos_Indicadores!$B$5:$B$17&lt;&gt;$A$12)*Pesos_Indicadores!$G$5:$G$17*(1-Q23)/(1-$B$12)),Normalizacao!$AI$5:$AI$17)/R23,""))</f>
        <v>0.72741507215324</v>
      </c>
      <c r="T23" s="60" t="n">
        <f aca="false">IF(R23=0,"",IFERROR(SUMPRODUCT(Normalizacao!$AL$5:$AL$17,Pesos_Indicadores!$I$5:$I$17,((Pesos_Indicadores!$B$5:$B$17=$A$12)*Q23+(Pesos_Indicadores!$B$5:$B$17&lt;&gt;$A$12)*Pesos_Indicadores!$G$5:$G$17*(1-Q23)/(1-$B$12)),Normalizacao!$AJ$5:$AJ$17)/R23,""))</f>
        <v>0.867428046208598</v>
      </c>
      <c r="U23" s="60" t="n">
        <f aca="false">IF(R23=0,"",IFERROR(SUMPRODUCT(Normalizacao!$AL$5:$AL$17,Pesos_Indicadores!$I$5:$I$17,((Pesos_Indicadores!$B$5:$B$17=$A$12)*Q23+(Pesos_Indicadores!$B$5:$B$17&lt;&gt;$A$12)*Pesos_Indicadores!$G$5:$G$17*(1-Q23)/(1-$B$12)),Normalizacao!$AK$5:$AK$17)/R23,""))</f>
        <v>0.87229984773055</v>
      </c>
      <c r="V23" s="17" t="str">
        <f aca="false">IF(S23="","",IF(INDEX(S23:U23,$B$5)&gt;=MAX(S23:U23),$B$4,INDEX(Pontuacao!$A$29:$A$31,MATCH(MAX(S23:U23),S23:U23,0))))</f>
        <v>Microsoft Azure</v>
      </c>
      <c r="W23" s="43" t="str">
        <f aca="false">IF(OR(V23="",V23=$B$4,ABS(Q23-$B$12)&lt;0.000000001),"",ABS(Q23-$B$12))</f>
        <v/>
      </c>
    </row>
    <row r="24" customFormat="false" ht="15" hidden="false" customHeight="true" outlineLevel="0" collapsed="false">
      <c r="A24" s="60" t="n">
        <f aca="false">(ROW()-17)*$B$6</f>
        <v>0.035</v>
      </c>
      <c r="B24" s="43" t="n">
        <f aca="false">IFERROR(SUMPRODUCT(Normalizacao!$AL$5:$AL$17,Pesos_Indicadores!$I$5:$I$17,((Pesos_Indicadores!$B$5:$B$17=$A$10)*A24+(Pesos_Indicadores!$B$5:$B$17&lt;&gt;$A$10)*Pesos_Indicadores!$G$5:$G$17*(1-A24)/(1-$B$10))),0)</f>
        <v>0.977730769230769</v>
      </c>
      <c r="C24" s="60" t="n">
        <f aca="false">IF(B24=0,"",IFERROR(SUMPRODUCT(Normalizacao!$AL$5:$AL$17,Pesos_Indicadores!$I$5:$I$17,((Pesos_Indicadores!$B$5:$B$17=$A$10)*A24+(Pesos_Indicadores!$B$5:$B$17&lt;&gt;$A$10)*Pesos_Indicadores!$G$5:$G$17*(1-A24)/(1-$B$10)),Normalizacao!$AI$5:$AI$17)/B24,""))</f>
        <v>0.753358128745788</v>
      </c>
      <c r="D24" s="60" t="n">
        <f aca="false">IF(B24=0,"",IFERROR(SUMPRODUCT(Normalizacao!$AL$5:$AL$17,Pesos_Indicadores!$I$5:$I$17,((Pesos_Indicadores!$B$5:$B$17=$A$10)*A24+(Pesos_Indicadores!$B$5:$B$17&lt;&gt;$A$10)*Pesos_Indicadores!$G$5:$G$17*(1-A24)/(1-$B$10)),Normalizacao!$AJ$5:$AJ$17)/B24,""))</f>
        <v>0.762535660349283</v>
      </c>
      <c r="E24" s="60" t="n">
        <f aca="false">IF(B24=0,"",IFERROR(SUMPRODUCT(Normalizacao!$AL$5:$AL$17,Pesos_Indicadores!$I$5:$I$17,((Pesos_Indicadores!$B$5:$B$17=$A$10)*A24+(Pesos_Indicadores!$B$5:$B$17&lt;&gt;$A$10)*Pesos_Indicadores!$G$5:$G$17*(1-A24)/(1-$B$10)),Normalizacao!$AK$5:$AK$17)/B24,""))</f>
        <v>0.818216768177742</v>
      </c>
      <c r="F24" s="17" t="str">
        <f aca="false">IF(C24="","",IF(INDEX(C24:E24,$B$5)&gt;=MAX(C24:E24),$B$4,INDEX(Pontuacao!$A$29:$A$31,MATCH(MAX(C24:E24),C24:E24,0))))</f>
        <v>Microsoft Azure</v>
      </c>
      <c r="G24" s="43" t="str">
        <f aca="false">IF(OR(F24="",F24=$B$4,ABS(A24-$B$10)&lt;0.000000001),"",ABS(A24-$B$10))</f>
        <v/>
      </c>
      <c r="I24" s="60" t="n">
        <f aca="false">(ROW()-17)*$B$6</f>
        <v>0.035</v>
      </c>
      <c r="J24" s="43" t="n">
        <f aca="false">IFERROR(SUMPRODUCT(Normalizacao!$AL$5:$AL$17,Pesos_Indicadores!$I$5:$I$17,((Pesos_Indicadores!$B$5:$B$17=$A$11)*I24+(Pesos_Indicadores!$B$5:$B$17&lt;&gt;$A$11)*Pesos_Indicadores!$G$5:$G$17*(1-I24)/(1-$B$11))),0)</f>
        <v>0.991923076923077</v>
      </c>
      <c r="K24" s="60" t="n">
        <f aca="false">IF(J24=0,"",IFERROR(SUMPRODUCT(Normalizacao!$AL$5:$AL$17,Pesos_Indicadores!$I$5:$I$17,((Pesos_Indicadores!$B$5:$B$17=$A$11)*I24+(Pesos_Indicadores!$B$5:$B$17&lt;&gt;$A$11)*Pesos_Indicadores!$G$5:$G$17*(1-I24)/(1-$B$11)),Normalizacao!$AI$5:$AI$17)/J24,""))</f>
        <v>0.741207460939129</v>
      </c>
      <c r="L24" s="60" t="n">
        <f aca="false">IF(J24=0,"",IFERROR(SUMPRODUCT(Normalizacao!$AL$5:$AL$17,Pesos_Indicadores!$I$5:$I$17,((Pesos_Indicadores!$B$5:$B$17=$A$11)*I24+(Pesos_Indicadores!$B$5:$B$17&lt;&gt;$A$11)*Pesos_Indicadores!$G$5:$G$17*(1-I24)/(1-$B$11)),Normalizacao!$AJ$5:$AJ$17)/J24,""))</f>
        <v>0.766149183623582</v>
      </c>
      <c r="M24" s="60" t="n">
        <f aca="false">IF(J24=0,"",IFERROR(SUMPRODUCT(Normalizacao!$AL$5:$AL$17,Pesos_Indicadores!$I$5:$I$17,((Pesos_Indicadores!$B$5:$B$17=$A$11)*I24+(Pesos_Indicadores!$B$5:$B$17&lt;&gt;$A$11)*Pesos_Indicadores!$G$5:$G$17*(1-I24)/(1-$B$11)),Normalizacao!$AK$5:$AK$17)/J24,""))</f>
        <v>0.821381351614223</v>
      </c>
      <c r="N24" s="17" t="str">
        <f aca="false">IF(K24="","",IF(INDEX(K24:M24,$B$5)&gt;=MAX(K24:M24),$B$4,INDEX(Pontuacao!$A$29:$A$31,MATCH(MAX(K24:M24),K24:M24,0))))</f>
        <v>Microsoft Azure</v>
      </c>
      <c r="O24" s="43" t="str">
        <f aca="false">IF(OR(N24="",N24=$B$4,ABS(I24-$B$11)&lt;0.000000001),"",ABS(I24-$B$11))</f>
        <v/>
      </c>
      <c r="Q24" s="60" t="n">
        <f aca="false">(ROW()-17)*$B$6</f>
        <v>0.035</v>
      </c>
      <c r="R24" s="43" t="n">
        <f aca="false">IFERROR(SUMPRODUCT(Normalizacao!$AL$5:$AL$17,Pesos_Indicadores!$I$5:$I$17,((Pesos_Indicadores!$B$5:$B$17=$A$12)*Q24+(Pesos_Indicadores!$B$5:$B$17&lt;&gt;$A$12)*Pesos_Indicadores!$G$5:$G$17*(1-Q24)/(1-$B$12))),0)</f>
        <v>0.888653846153846</v>
      </c>
      <c r="S24" s="60" t="n">
        <f aca="false">IF(R24=0,"",IFERROR(SUMPRODUCT(Normalizacao!$AL$5:$AL$17,Pesos_Indicadores!$I$5:$I$17,((Pesos_Indicadores!$B$5:$B$17=$A$12)*Q24+(Pesos_Indicadores!$B$5:$B$17&lt;&gt;$A$12)*Pesos_Indicadores!$G$5:$G$17*(1-Q24)/(1-$B$12)),Normalizacao!$AI$5:$AI$17)/R24,""))</f>
        <v>0.727546076091785</v>
      </c>
      <c r="T24" s="60" t="n">
        <f aca="false">IF(R24=0,"",IFERROR(SUMPRODUCT(Normalizacao!$AL$5:$AL$17,Pesos_Indicadores!$I$5:$I$17,((Pesos_Indicadores!$B$5:$B$17=$A$12)*Q24+(Pesos_Indicadores!$B$5:$B$17&lt;&gt;$A$12)*Pesos_Indicadores!$G$5:$G$17*(1-Q24)/(1-$B$12)),Normalizacao!$AJ$5:$AJ$17)/R24,""))</f>
        <v>0.866746904490841</v>
      </c>
      <c r="U24" s="60" t="n">
        <f aca="false">IF(R24=0,"",IFERROR(SUMPRODUCT(Normalizacao!$AL$5:$AL$17,Pesos_Indicadores!$I$5:$I$17,((Pesos_Indicadores!$B$5:$B$17=$A$12)*Q24+(Pesos_Indicadores!$B$5:$B$17&lt;&gt;$A$12)*Pesos_Indicadores!$G$5:$G$17*(1-Q24)/(1-$B$12)),Normalizacao!$AK$5:$AK$17)/R24,""))</f>
        <v>0.871952978542823</v>
      </c>
      <c r="V24" s="17" t="str">
        <f aca="false">IF(S24="","",IF(INDEX(S24:U24,$B$5)&gt;=MAX(S24:U24),$B$4,INDEX(Pontuacao!$A$29:$A$31,MATCH(MAX(S24:U24),S24:U24,0))))</f>
        <v>Microsoft Azure</v>
      </c>
      <c r="W24" s="43" t="str">
        <f aca="false">IF(OR(V24="",V24=$B$4,ABS(Q24-$B$12)&lt;0.000000001),"",ABS(Q24-$B$12))</f>
        <v/>
      </c>
    </row>
    <row r="25" customFormat="false" ht="15" hidden="false" customHeight="true" outlineLevel="0" collapsed="false">
      <c r="A25" s="60" t="n">
        <f aca="false">(ROW()-17)*$B$6</f>
        <v>0.04</v>
      </c>
      <c r="B25" s="43" t="n">
        <f aca="false">IFERROR(SUMPRODUCT(Normalizacao!$AL$5:$AL$17,Pesos_Indicadores!$I$5:$I$17,((Pesos_Indicadores!$B$5:$B$17=$A$10)*A25+(Pesos_Indicadores!$B$5:$B$17&lt;&gt;$A$10)*Pesos_Indicadores!$G$5:$G$17*(1-A25)/(1-$B$10))),0)</f>
        <v>0.977846153846154</v>
      </c>
      <c r="C25" s="60" t="n">
        <f aca="false">IF(B25=0,"",IFERROR(SUMPRODUCT(Normalizacao!$AL$5:$AL$17,Pesos_Indicadores!$I$5:$I$17,((Pesos_Indicadores!$B$5:$B$17=$A$10)*A25+(Pesos_Indicadores!$B$5:$B$17&lt;&gt;$A$10)*Pesos_Indicadores!$G$5:$G$17*(1-A25)/(1-$B$10)),Normalizacao!$AI$5:$AI$17)/B25,""))</f>
        <v>0.752713611024305</v>
      </c>
      <c r="D25" s="60" t="n">
        <f aca="false">IF(B25=0,"",IFERROR(SUMPRODUCT(Normalizacao!$AL$5:$AL$17,Pesos_Indicadores!$I$5:$I$17,((Pesos_Indicadores!$B$5:$B$17=$A$10)*A25+(Pesos_Indicadores!$B$5:$B$17&lt;&gt;$A$10)*Pesos_Indicadores!$G$5:$G$17*(1-A25)/(1-$B$10)),Normalizacao!$AJ$5:$AJ$17)/B25,""))</f>
        <v>0.763200980928667</v>
      </c>
      <c r="E25" s="60" t="n">
        <f aca="false">IF(B25=0,"",IFERROR(SUMPRODUCT(Normalizacao!$AL$5:$AL$17,Pesos_Indicadores!$I$5:$I$17,((Pesos_Indicadores!$B$5:$B$17=$A$10)*A25+(Pesos_Indicadores!$B$5:$B$17&lt;&gt;$A$10)*Pesos_Indicadores!$G$5:$G$17*(1-A25)/(1-$B$10)),Normalizacao!$AK$5:$AK$17)/B25,""))</f>
        <v>0.818615300406693</v>
      </c>
      <c r="F25" s="17" t="str">
        <f aca="false">IF(C25="","",IF(INDEX(C25:E25,$B$5)&gt;=MAX(C25:E25),$B$4,INDEX(Pontuacao!$A$29:$A$31,MATCH(MAX(C25:E25),C25:E25,0))))</f>
        <v>Microsoft Azure</v>
      </c>
      <c r="G25" s="43" t="str">
        <f aca="false">IF(OR(F25="",F25=$B$4,ABS(A25-$B$10)&lt;0.000000001),"",ABS(A25-$B$10))</f>
        <v/>
      </c>
      <c r="I25" s="60" t="n">
        <f aca="false">(ROW()-17)*$B$6</f>
        <v>0.04</v>
      </c>
      <c r="J25" s="43" t="n">
        <f aca="false">IFERROR(SUMPRODUCT(Normalizacao!$AL$5:$AL$17,Pesos_Indicadores!$I$5:$I$17,((Pesos_Indicadores!$B$5:$B$17=$A$11)*I25+(Pesos_Indicadores!$B$5:$B$17&lt;&gt;$A$11)*Pesos_Indicadores!$G$5:$G$17*(1-I25)/(1-$B$11))),0)</f>
        <v>0.990769230769231</v>
      </c>
      <c r="K25" s="60" t="n">
        <f aca="false">IF(J25=0,"",IFERROR(SUMPRODUCT(Normalizacao!$AL$5:$AL$17,Pesos_Indicadores!$I$5:$I$17,((Pesos_Indicadores!$B$5:$B$17=$A$11)*I25+(Pesos_Indicadores!$B$5:$B$17&lt;&gt;$A$11)*Pesos_Indicadores!$G$5:$G$17*(1-I25)/(1-$B$11)),Normalizacao!$AI$5:$AI$17)/J25,""))</f>
        <v>0.74164510993931</v>
      </c>
      <c r="L25" s="60" t="n">
        <f aca="false">IF(J25=0,"",IFERROR(SUMPRODUCT(Normalizacao!$AL$5:$AL$17,Pesos_Indicadores!$I$5:$I$17,((Pesos_Indicadores!$B$5:$B$17=$A$11)*I25+(Pesos_Indicadores!$B$5:$B$17&lt;&gt;$A$11)*Pesos_Indicadores!$G$5:$G$17*(1-I25)/(1-$B$11)),Normalizacao!$AJ$5:$AJ$17)/J25,""))</f>
        <v>0.766486497434513</v>
      </c>
      <c r="M25" s="60" t="n">
        <f aca="false">IF(J25=0,"",IFERROR(SUMPRODUCT(Normalizacao!$AL$5:$AL$17,Pesos_Indicadores!$I$5:$I$17,((Pesos_Indicadores!$B$5:$B$17=$A$11)*I25+(Pesos_Indicadores!$B$5:$B$17&lt;&gt;$A$11)*Pesos_Indicadores!$G$5:$G$17*(1-I25)/(1-$B$11)),Normalizacao!$AK$5:$AK$17)/J25,""))</f>
        <v>0.821495029937777</v>
      </c>
      <c r="N25" s="17" t="str">
        <f aca="false">IF(K25="","",IF(INDEX(K25:M25,$B$5)&gt;=MAX(K25:M25),$B$4,INDEX(Pontuacao!$A$29:$A$31,MATCH(MAX(K25:M25),K25:M25,0))))</f>
        <v>Microsoft Azure</v>
      </c>
      <c r="O25" s="43" t="str">
        <f aca="false">IF(OR(N25="",N25=$B$4,ABS(I25-$B$11)&lt;0.000000001),"",ABS(I25-$B$11))</f>
        <v/>
      </c>
      <c r="Q25" s="60" t="n">
        <f aca="false">(ROW()-17)*$B$6</f>
        <v>0.04</v>
      </c>
      <c r="R25" s="43" t="n">
        <f aca="false">IFERROR(SUMPRODUCT(Normalizacao!$AL$5:$AL$17,Pesos_Indicadores!$I$5:$I$17,((Pesos_Indicadores!$B$5:$B$17=$A$12)*Q25+(Pesos_Indicadores!$B$5:$B$17&lt;&gt;$A$12)*Pesos_Indicadores!$G$5:$G$17*(1-Q25)/(1-$B$12))),0)</f>
        <v>0.889230769230769</v>
      </c>
      <c r="S25" s="60" t="n">
        <f aca="false">IF(R25=0,"",IFERROR(SUMPRODUCT(Normalizacao!$AL$5:$AL$17,Pesos_Indicadores!$I$5:$I$17,((Pesos_Indicadores!$B$5:$B$17=$A$12)*Q25+(Pesos_Indicadores!$B$5:$B$17&lt;&gt;$A$12)*Pesos_Indicadores!$G$5:$G$17*(1-Q25)/(1-$B$12)),Normalizacao!$AI$5:$AI$17)/R25,""))</f>
        <v>0.72767691004252</v>
      </c>
      <c r="T25" s="60" t="n">
        <f aca="false">IF(R25=0,"",IFERROR(SUMPRODUCT(Normalizacao!$AL$5:$AL$17,Pesos_Indicadores!$I$5:$I$17,((Pesos_Indicadores!$B$5:$B$17=$A$12)*Q25+(Pesos_Indicadores!$B$5:$B$17&lt;&gt;$A$12)*Pesos_Indicadores!$G$5:$G$17*(1-Q25)/(1-$B$12)),Normalizacao!$AJ$5:$AJ$17)/R25,""))</f>
        <v>0.866066646607492</v>
      </c>
      <c r="U25" s="60" t="n">
        <f aca="false">IF(R25=0,"",IFERROR(SUMPRODUCT(Normalizacao!$AL$5:$AL$17,Pesos_Indicadores!$I$5:$I$17,((Pesos_Indicadores!$B$5:$B$17=$A$12)*Q25+(Pesos_Indicadores!$B$5:$B$17&lt;&gt;$A$12)*Pesos_Indicadores!$G$5:$G$17*(1-Q25)/(1-$B$12)),Normalizacao!$AK$5:$AK$17)/R25,""))</f>
        <v>0.871606559444872</v>
      </c>
      <c r="V25" s="17" t="str">
        <f aca="false">IF(S25="","",IF(INDEX(S25:U25,$B$5)&gt;=MAX(S25:U25),$B$4,INDEX(Pontuacao!$A$29:$A$31,MATCH(MAX(S25:U25),S25:U25,0))))</f>
        <v>Microsoft Azure</v>
      </c>
      <c r="W25" s="43" t="str">
        <f aca="false">IF(OR(V25="",V25=$B$4,ABS(Q25-$B$12)&lt;0.000000001),"",ABS(Q25-$B$12))</f>
        <v/>
      </c>
    </row>
    <row r="26" customFormat="false" ht="15" hidden="false" customHeight="true" outlineLevel="0" collapsed="false">
      <c r="A26" s="60" t="n">
        <f aca="false">(ROW()-17)*$B$6</f>
        <v>0.045</v>
      </c>
      <c r="B26" s="43" t="n">
        <f aca="false">IFERROR(SUMPRODUCT(Normalizacao!$AL$5:$AL$17,Pesos_Indicadores!$I$5:$I$17,((Pesos_Indicadores!$B$5:$B$17=$A$10)*A26+(Pesos_Indicadores!$B$5:$B$17&lt;&gt;$A$10)*Pesos_Indicadores!$G$5:$G$17*(1-A26)/(1-$B$10))),0)</f>
        <v>0.977961538461539</v>
      </c>
      <c r="C26" s="60" t="n">
        <f aca="false">IF(B26=0,"",IFERROR(SUMPRODUCT(Normalizacao!$AL$5:$AL$17,Pesos_Indicadores!$I$5:$I$17,((Pesos_Indicadores!$B$5:$B$17=$A$10)*A26+(Pesos_Indicadores!$B$5:$B$17&lt;&gt;$A$10)*Pesos_Indicadores!$G$5:$G$17*(1-A26)/(1-$B$10)),Normalizacao!$AI$5:$AI$17)/B26,""))</f>
        <v>0.752069245389435</v>
      </c>
      <c r="D26" s="60" t="n">
        <f aca="false">IF(B26=0,"",IFERROR(SUMPRODUCT(Normalizacao!$AL$5:$AL$17,Pesos_Indicadores!$I$5:$I$17,((Pesos_Indicadores!$B$5:$B$17=$A$10)*A26+(Pesos_Indicadores!$B$5:$B$17&lt;&gt;$A$10)*Pesos_Indicadores!$G$5:$G$17*(1-A26)/(1-$B$10)),Normalizacao!$AJ$5:$AJ$17)/B26,""))</f>
        <v>0.763866144512594</v>
      </c>
      <c r="E26" s="60" t="n">
        <f aca="false">IF(B26=0,"",IFERROR(SUMPRODUCT(Normalizacao!$AL$5:$AL$17,Pesos_Indicadores!$I$5:$I$17,((Pesos_Indicadores!$B$5:$B$17=$A$10)*A26+(Pesos_Indicadores!$B$5:$B$17&lt;&gt;$A$10)*Pesos_Indicadores!$G$5:$G$17*(1-A26)/(1-$B$10)),Normalizacao!$AK$5:$AK$17)/B26,""))</f>
        <v>0.819013738594137</v>
      </c>
      <c r="F26" s="17" t="str">
        <f aca="false">IF(C26="","",IF(INDEX(C26:E26,$B$5)&gt;=MAX(C26:E26),$B$4,INDEX(Pontuacao!$A$29:$A$31,MATCH(MAX(C26:E26),C26:E26,0))))</f>
        <v>Microsoft Azure</v>
      </c>
      <c r="G26" s="43" t="str">
        <f aca="false">IF(OR(F26="",F26=$B$4,ABS(A26-$B$10)&lt;0.000000001),"",ABS(A26-$B$10))</f>
        <v/>
      </c>
      <c r="I26" s="60" t="n">
        <f aca="false">(ROW()-17)*$B$6</f>
        <v>0.045</v>
      </c>
      <c r="J26" s="43" t="n">
        <f aca="false">IFERROR(SUMPRODUCT(Normalizacao!$AL$5:$AL$17,Pesos_Indicadores!$I$5:$I$17,((Pesos_Indicadores!$B$5:$B$17=$A$11)*I26+(Pesos_Indicadores!$B$5:$B$17&lt;&gt;$A$11)*Pesos_Indicadores!$G$5:$G$17*(1-I26)/(1-$B$11))),0)</f>
        <v>0.989615384615385</v>
      </c>
      <c r="K26" s="60" t="n">
        <f aca="false">IF(J26=0,"",IFERROR(SUMPRODUCT(Normalizacao!$AL$5:$AL$17,Pesos_Indicadores!$I$5:$I$17,((Pesos_Indicadores!$B$5:$B$17=$A$11)*I26+(Pesos_Indicadores!$B$5:$B$17&lt;&gt;$A$11)*Pesos_Indicadores!$G$5:$G$17*(1-I26)/(1-$B$11)),Normalizacao!$AI$5:$AI$17)/J26,""))</f>
        <v>0.742083779496817</v>
      </c>
      <c r="L26" s="60" t="n">
        <f aca="false">IF(J26=0,"",IFERROR(SUMPRODUCT(Normalizacao!$AL$5:$AL$17,Pesos_Indicadores!$I$5:$I$17,((Pesos_Indicadores!$B$5:$B$17=$A$11)*I26+(Pesos_Indicadores!$B$5:$B$17&lt;&gt;$A$11)*Pesos_Indicadores!$G$5:$G$17*(1-I26)/(1-$B$11)),Normalizacao!$AJ$5:$AJ$17)/J26,""))</f>
        <v>0.766824597830311</v>
      </c>
      <c r="M26" s="60" t="n">
        <f aca="false">IF(J26=0,"",IFERROR(SUMPRODUCT(Normalizacao!$AL$5:$AL$17,Pesos_Indicadores!$I$5:$I$17,((Pesos_Indicadores!$B$5:$B$17=$A$11)*I26+(Pesos_Indicadores!$B$5:$B$17&lt;&gt;$A$11)*Pesos_Indicadores!$G$5:$G$17*(1-I26)/(1-$B$11)),Normalizacao!$AK$5:$AK$17)/J26,""))</f>
        <v>0.821608973348753</v>
      </c>
      <c r="N26" s="17" t="str">
        <f aca="false">IF(K26="","",IF(INDEX(K26:M26,$B$5)&gt;=MAX(K26:M26),$B$4,INDEX(Pontuacao!$A$29:$A$31,MATCH(MAX(K26:M26),K26:M26,0))))</f>
        <v>Microsoft Azure</v>
      </c>
      <c r="O26" s="43" t="str">
        <f aca="false">IF(OR(N26="",N26=$B$4,ABS(I26-$B$11)&lt;0.000000001),"",ABS(I26-$B$11))</f>
        <v/>
      </c>
      <c r="Q26" s="60" t="n">
        <f aca="false">(ROW()-17)*$B$6</f>
        <v>0.045</v>
      </c>
      <c r="R26" s="43" t="n">
        <f aca="false">IFERROR(SUMPRODUCT(Normalizacao!$AL$5:$AL$17,Pesos_Indicadores!$I$5:$I$17,((Pesos_Indicadores!$B$5:$B$17=$A$12)*Q26+(Pesos_Indicadores!$B$5:$B$17&lt;&gt;$A$12)*Pesos_Indicadores!$G$5:$G$17*(1-Q26)/(1-$B$12))),0)</f>
        <v>0.889807692307693</v>
      </c>
      <c r="S26" s="60" t="n">
        <f aca="false">IF(R26=0,"",IFERROR(SUMPRODUCT(Normalizacao!$AL$5:$AL$17,Pesos_Indicadores!$I$5:$I$17,((Pesos_Indicadores!$B$5:$B$17=$A$12)*Q26+(Pesos_Indicadores!$B$5:$B$17&lt;&gt;$A$12)*Pesos_Indicadores!$G$5:$G$17*(1-Q26)/(1-$B$12)),Normalizacao!$AI$5:$AI$17)/R26,""))</f>
        <v>0.72780757433609</v>
      </c>
      <c r="T26" s="60" t="n">
        <f aca="false">IF(R26=0,"",IFERROR(SUMPRODUCT(Normalizacao!$AL$5:$AL$17,Pesos_Indicadores!$I$5:$I$17,((Pesos_Indicadores!$B$5:$B$17=$A$12)*Q26+(Pesos_Indicadores!$B$5:$B$17&lt;&gt;$A$12)*Pesos_Indicadores!$G$5:$G$17*(1-Q26)/(1-$B$12)),Normalizacao!$AJ$5:$AJ$17)/R26,""))</f>
        <v>0.865387270839402</v>
      </c>
      <c r="U26" s="60" t="n">
        <f aca="false">IF(R26=0,"",IFERROR(SUMPRODUCT(Normalizacao!$AL$5:$AL$17,Pesos_Indicadores!$I$5:$I$17,((Pesos_Indicadores!$B$5:$B$17=$A$12)*Q26+(Pesos_Indicadores!$B$5:$B$17&lt;&gt;$A$12)*Pesos_Indicadores!$G$5:$G$17*(1-Q26)/(1-$B$12)),Normalizacao!$AK$5:$AK$17)/R26,""))</f>
        <v>0.871260589561225</v>
      </c>
      <c r="V26" s="17" t="str">
        <f aca="false">IF(S26="","",IF(INDEX(S26:U26,$B$5)&gt;=MAX(S26:U26),$B$4,INDEX(Pontuacao!$A$29:$A$31,MATCH(MAX(S26:U26),S26:U26,0))))</f>
        <v>Microsoft Azure</v>
      </c>
      <c r="W26" s="43" t="str">
        <f aca="false">IF(OR(V26="",V26=$B$4,ABS(Q26-$B$12)&lt;0.000000001),"",ABS(Q26-$B$12))</f>
        <v/>
      </c>
    </row>
    <row r="27" customFormat="false" ht="15" hidden="false" customHeight="true" outlineLevel="0" collapsed="false">
      <c r="A27" s="60" t="n">
        <f aca="false">(ROW()-17)*$B$6</f>
        <v>0.05</v>
      </c>
      <c r="B27" s="43" t="n">
        <f aca="false">IFERROR(SUMPRODUCT(Normalizacao!$AL$5:$AL$17,Pesos_Indicadores!$I$5:$I$17,((Pesos_Indicadores!$B$5:$B$17=$A$10)*A27+(Pesos_Indicadores!$B$5:$B$17&lt;&gt;$A$10)*Pesos_Indicadores!$G$5:$G$17*(1-A27)/(1-$B$10))),0)</f>
        <v>0.978076923076923</v>
      </c>
      <c r="C27" s="60" t="n">
        <f aca="false">IF(B27=0,"",IFERROR(SUMPRODUCT(Normalizacao!$AL$5:$AL$17,Pesos_Indicadores!$I$5:$I$17,((Pesos_Indicadores!$B$5:$B$17=$A$10)*A27+(Pesos_Indicadores!$B$5:$B$17&lt;&gt;$A$10)*Pesos_Indicadores!$G$5:$G$17*(1-A27)/(1-$B$10)),Normalizacao!$AI$5:$AI$17)/B27,""))</f>
        <v>0.751425031787354</v>
      </c>
      <c r="D27" s="60" t="n">
        <f aca="false">IF(B27=0,"",IFERROR(SUMPRODUCT(Normalizacao!$AL$5:$AL$17,Pesos_Indicadores!$I$5:$I$17,((Pesos_Indicadores!$B$5:$B$17=$A$10)*A27+(Pesos_Indicadores!$B$5:$B$17&lt;&gt;$A$10)*Pesos_Indicadores!$G$5:$G$17*(1-A27)/(1-$B$10)),Normalizacao!$AJ$5:$AJ$17)/B27,""))</f>
        <v>0.764531151156628</v>
      </c>
      <c r="E27" s="60" t="n">
        <f aca="false">IF(B27=0,"",IFERROR(SUMPRODUCT(Normalizacao!$AL$5:$AL$17,Pesos_Indicadores!$I$5:$I$17,((Pesos_Indicadores!$B$5:$B$17=$A$10)*A27+(Pesos_Indicadores!$B$5:$B$17&lt;&gt;$A$10)*Pesos_Indicadores!$G$5:$G$17*(1-A27)/(1-$B$10)),Normalizacao!$AK$5:$AK$17)/B27,""))</f>
        <v>0.819412082773358</v>
      </c>
      <c r="F27" s="17" t="str">
        <f aca="false">IF(C27="","",IF(INDEX(C27:E27,$B$5)&gt;=MAX(C27:E27),$B$4,INDEX(Pontuacao!$A$29:$A$31,MATCH(MAX(C27:E27),C27:E27,0))))</f>
        <v>Microsoft Azure</v>
      </c>
      <c r="G27" s="43" t="str">
        <f aca="false">IF(OR(F27="",F27=$B$4,ABS(A27-$B$10)&lt;0.000000001),"",ABS(A27-$B$10))</f>
        <v/>
      </c>
      <c r="I27" s="60" t="n">
        <f aca="false">(ROW()-17)*$B$6</f>
        <v>0.05</v>
      </c>
      <c r="J27" s="43" t="n">
        <f aca="false">IFERROR(SUMPRODUCT(Normalizacao!$AL$5:$AL$17,Pesos_Indicadores!$I$5:$I$17,((Pesos_Indicadores!$B$5:$B$17=$A$11)*I27+(Pesos_Indicadores!$B$5:$B$17&lt;&gt;$A$11)*Pesos_Indicadores!$G$5:$G$17*(1-I27)/(1-$B$11))),0)</f>
        <v>0.988461538461539</v>
      </c>
      <c r="K27" s="60" t="n">
        <f aca="false">IF(J27=0,"",IFERROR(SUMPRODUCT(Normalizacao!$AL$5:$AL$17,Pesos_Indicadores!$I$5:$I$17,((Pesos_Indicadores!$B$5:$B$17=$A$11)*I27+(Pesos_Indicadores!$B$5:$B$17&lt;&gt;$A$11)*Pesos_Indicadores!$G$5:$G$17*(1-I27)/(1-$B$11)),Normalizacao!$AI$5:$AI$17)/J27,""))</f>
        <v>0.742523473185586</v>
      </c>
      <c r="L27" s="60" t="n">
        <f aca="false">IF(J27=0,"",IFERROR(SUMPRODUCT(Normalizacao!$AL$5:$AL$17,Pesos_Indicadores!$I$5:$I$17,((Pesos_Indicadores!$B$5:$B$17=$A$11)*I27+(Pesos_Indicadores!$B$5:$B$17&lt;&gt;$A$11)*Pesos_Indicadores!$G$5:$G$17*(1-I27)/(1-$B$11)),Normalizacao!$AJ$5:$AJ$17)/J27,""))</f>
        <v>0.767163487565556</v>
      </c>
      <c r="M27" s="60" t="n">
        <f aca="false">IF(J27=0,"",IFERROR(SUMPRODUCT(Normalizacao!$AL$5:$AL$17,Pesos_Indicadores!$I$5:$I$17,((Pesos_Indicadores!$B$5:$B$17=$A$11)*I27+(Pesos_Indicadores!$B$5:$B$17&lt;&gt;$A$11)*Pesos_Indicadores!$G$5:$G$17*(1-I27)/(1-$B$11)),Normalizacao!$AK$5:$AK$17)/J27,""))</f>
        <v>0.821723182775476</v>
      </c>
      <c r="N27" s="17" t="str">
        <f aca="false">IF(K27="","",IF(INDEX(K27:M27,$B$5)&gt;=MAX(K27:M27),$B$4,INDEX(Pontuacao!$A$29:$A$31,MATCH(MAX(K27:M27),K27:M27,0))))</f>
        <v>Microsoft Azure</v>
      </c>
      <c r="O27" s="43" t="str">
        <f aca="false">IF(OR(N27="",N27=$B$4,ABS(I27-$B$11)&lt;0.000000001),"",ABS(I27-$B$11))</f>
        <v/>
      </c>
      <c r="Q27" s="60" t="n">
        <f aca="false">(ROW()-17)*$B$6</f>
        <v>0.05</v>
      </c>
      <c r="R27" s="43" t="n">
        <f aca="false">IFERROR(SUMPRODUCT(Normalizacao!$AL$5:$AL$17,Pesos_Indicadores!$I$5:$I$17,((Pesos_Indicadores!$B$5:$B$17=$A$12)*Q27+(Pesos_Indicadores!$B$5:$B$17&lt;&gt;$A$12)*Pesos_Indicadores!$G$5:$G$17*(1-Q27)/(1-$B$12))),0)</f>
        <v>0.890384615384616</v>
      </c>
      <c r="S27" s="60" t="n">
        <f aca="false">IF(R27=0,"",IFERROR(SUMPRODUCT(Normalizacao!$AL$5:$AL$17,Pesos_Indicadores!$I$5:$I$17,((Pesos_Indicadores!$B$5:$B$17=$A$12)*Q27+(Pesos_Indicadores!$B$5:$B$17&lt;&gt;$A$12)*Pesos_Indicadores!$G$5:$G$17*(1-Q27)/(1-$B$12)),Normalizacao!$AI$5:$AI$17)/R27,""))</f>
        <v>0.727938069302282</v>
      </c>
      <c r="T27" s="60" t="n">
        <f aca="false">IF(R27=0,"",IFERROR(SUMPRODUCT(Normalizacao!$AL$5:$AL$17,Pesos_Indicadores!$I$5:$I$17,((Pesos_Indicadores!$B$5:$B$17=$A$12)*Q27+(Pesos_Indicadores!$B$5:$B$17&lt;&gt;$A$12)*Pesos_Indicadores!$G$5:$G$17*(1-Q27)/(1-$B$12)),Normalizacao!$AJ$5:$AJ$17)/R27,""))</f>
        <v>0.864708775471875</v>
      </c>
      <c r="U27" s="60" t="n">
        <f aca="false">IF(R27=0,"",IFERROR(SUMPRODUCT(Normalizacao!$AL$5:$AL$17,Pesos_Indicadores!$I$5:$I$17,((Pesos_Indicadores!$B$5:$B$17=$A$12)*Q27+(Pesos_Indicadores!$B$5:$B$17&lt;&gt;$A$12)*Pesos_Indicadores!$G$5:$G$17*(1-Q27)/(1-$B$12)),Normalizacao!$AK$5:$AK$17)/R27,""))</f>
        <v>0.870915068018681</v>
      </c>
      <c r="V27" s="17" t="str">
        <f aca="false">IF(S27="","",IF(INDEX(S27:U27,$B$5)&gt;=MAX(S27:U27),$B$4,INDEX(Pontuacao!$A$29:$A$31,MATCH(MAX(S27:U27),S27:U27,0))))</f>
        <v>Microsoft Azure</v>
      </c>
      <c r="W27" s="43" t="str">
        <f aca="false">IF(OR(V27="",V27=$B$4,ABS(Q27-$B$12)&lt;0.000000001),"",ABS(Q27-$B$12))</f>
        <v/>
      </c>
    </row>
    <row r="28" customFormat="false" ht="15" hidden="false" customHeight="true" outlineLevel="0" collapsed="false">
      <c r="A28" s="60" t="n">
        <f aca="false">(ROW()-17)*$B$6</f>
        <v>0.055</v>
      </c>
      <c r="B28" s="43" t="n">
        <f aca="false">IFERROR(SUMPRODUCT(Normalizacao!$AL$5:$AL$17,Pesos_Indicadores!$I$5:$I$17,((Pesos_Indicadores!$B$5:$B$17=$A$10)*A28+(Pesos_Indicadores!$B$5:$B$17&lt;&gt;$A$10)*Pesos_Indicadores!$G$5:$G$17*(1-A28)/(1-$B$10))),0)</f>
        <v>0.978192307692308</v>
      </c>
      <c r="C28" s="60" t="n">
        <f aca="false">IF(B28=0,"",IFERROR(SUMPRODUCT(Normalizacao!$AL$5:$AL$17,Pesos_Indicadores!$I$5:$I$17,((Pesos_Indicadores!$B$5:$B$17=$A$10)*A28+(Pesos_Indicadores!$B$5:$B$17&lt;&gt;$A$10)*Pesos_Indicadores!$G$5:$G$17*(1-A28)/(1-$B$10)),Normalizacao!$AI$5:$AI$17)/B28,""))</f>
        <v>0.750780970164261</v>
      </c>
      <c r="D28" s="60" t="n">
        <f aca="false">IF(B28=0,"",IFERROR(SUMPRODUCT(Normalizacao!$AL$5:$AL$17,Pesos_Indicadores!$I$5:$I$17,((Pesos_Indicadores!$B$5:$B$17=$A$10)*A28+(Pesos_Indicadores!$B$5:$B$17&lt;&gt;$A$10)*Pesos_Indicadores!$G$5:$G$17*(1-A28)/(1-$B$10)),Normalizacao!$AJ$5:$AJ$17)/B28,""))</f>
        <v>0.765196000916304</v>
      </c>
      <c r="E28" s="60" t="n">
        <f aca="false">IF(B28=0,"",IFERROR(SUMPRODUCT(Normalizacao!$AL$5:$AL$17,Pesos_Indicadores!$I$5:$I$17,((Pesos_Indicadores!$B$5:$B$17=$A$10)*A28+(Pesos_Indicadores!$B$5:$B$17&lt;&gt;$A$10)*Pesos_Indicadores!$G$5:$G$17*(1-A28)/(1-$B$10)),Normalizacao!$AK$5:$AK$17)/B28,""))</f>
        <v>0.819810332977622</v>
      </c>
      <c r="F28" s="17" t="str">
        <f aca="false">IF(C28="","",IF(INDEX(C28:E28,$B$5)&gt;=MAX(C28:E28),$B$4,INDEX(Pontuacao!$A$29:$A$31,MATCH(MAX(C28:E28),C28:E28,0))))</f>
        <v>Microsoft Azure</v>
      </c>
      <c r="G28" s="43" t="str">
        <f aca="false">IF(OR(F28="",F28=$B$4,ABS(A28-$B$10)&lt;0.000000001),"",ABS(A28-$B$10))</f>
        <v/>
      </c>
      <c r="I28" s="60" t="n">
        <f aca="false">(ROW()-17)*$B$6</f>
        <v>0.055</v>
      </c>
      <c r="J28" s="43" t="n">
        <f aca="false">IFERROR(SUMPRODUCT(Normalizacao!$AL$5:$AL$17,Pesos_Indicadores!$I$5:$I$17,((Pesos_Indicadores!$B$5:$B$17=$A$11)*I28+(Pesos_Indicadores!$B$5:$B$17&lt;&gt;$A$11)*Pesos_Indicadores!$G$5:$G$17*(1-I28)/(1-$B$11))),0)</f>
        <v>0.987307692307692</v>
      </c>
      <c r="K28" s="60" t="n">
        <f aca="false">IF(J28=0,"",IFERROR(SUMPRODUCT(Normalizacao!$AL$5:$AL$17,Pesos_Indicadores!$I$5:$I$17,((Pesos_Indicadores!$B$5:$B$17=$A$11)*I28+(Pesos_Indicadores!$B$5:$B$17&lt;&gt;$A$11)*Pesos_Indicadores!$G$5:$G$17*(1-I28)/(1-$B$11)),Normalizacao!$AI$5:$AI$17)/J28,""))</f>
        <v>0.742964194596262</v>
      </c>
      <c r="L28" s="60" t="n">
        <f aca="false">IF(J28=0,"",IFERROR(SUMPRODUCT(Normalizacao!$AL$5:$AL$17,Pesos_Indicadores!$I$5:$I$17,((Pesos_Indicadores!$B$5:$B$17=$A$11)*I28+(Pesos_Indicadores!$B$5:$B$17&lt;&gt;$A$11)*Pesos_Indicadores!$G$5:$G$17*(1-I28)/(1-$B$11)),Normalizacao!$AJ$5:$AJ$17)/J28,""))</f>
        <v>0.7675031694077</v>
      </c>
      <c r="M28" s="60" t="n">
        <f aca="false">IF(J28=0,"",IFERROR(SUMPRODUCT(Normalizacao!$AL$5:$AL$17,Pesos_Indicadores!$I$5:$I$17,((Pesos_Indicadores!$B$5:$B$17=$A$11)*I28+(Pesos_Indicadores!$B$5:$B$17&lt;&gt;$A$11)*Pesos_Indicadores!$G$5:$G$17*(1-I28)/(1-$B$11)),Normalizacao!$AK$5:$AK$17)/J28,""))</f>
        <v>0.821837659150605</v>
      </c>
      <c r="N28" s="17" t="str">
        <f aca="false">IF(K28="","",IF(INDEX(K28:M28,$B$5)&gt;=MAX(K28:M28),$B$4,INDEX(Pontuacao!$A$29:$A$31,MATCH(MAX(K28:M28),K28:M28,0))))</f>
        <v>Microsoft Azure</v>
      </c>
      <c r="O28" s="43" t="str">
        <f aca="false">IF(OR(N28="",N28=$B$4,ABS(I28-$B$11)&lt;0.000000001),"",ABS(I28-$B$11))</f>
        <v/>
      </c>
      <c r="Q28" s="60" t="n">
        <f aca="false">(ROW()-17)*$B$6</f>
        <v>0.055</v>
      </c>
      <c r="R28" s="43" t="n">
        <f aca="false">IFERROR(SUMPRODUCT(Normalizacao!$AL$5:$AL$17,Pesos_Indicadores!$I$5:$I$17,((Pesos_Indicadores!$B$5:$B$17=$A$12)*Q28+(Pesos_Indicadores!$B$5:$B$17&lt;&gt;$A$12)*Pesos_Indicadores!$G$5:$G$17*(1-Q28)/(1-$B$12))),0)</f>
        <v>0.890961538461539</v>
      </c>
      <c r="S28" s="60" t="n">
        <f aca="false">IF(R28=0,"",IFERROR(SUMPRODUCT(Normalizacao!$AL$5:$AL$17,Pesos_Indicadores!$I$5:$I$17,((Pesos_Indicadores!$B$5:$B$17=$A$12)*Q28+(Pesos_Indicadores!$B$5:$B$17&lt;&gt;$A$12)*Pesos_Indicadores!$G$5:$G$17*(1-Q28)/(1-$B$12)),Normalizacao!$AI$5:$AI$17)/R28,""))</f>
        <v>0.728068395270028</v>
      </c>
      <c r="T28" s="60" t="n">
        <f aca="false">IF(R28=0,"",IFERROR(SUMPRODUCT(Normalizacao!$AL$5:$AL$17,Pesos_Indicadores!$I$5:$I$17,((Pesos_Indicadores!$B$5:$B$17=$A$12)*Q28+(Pesos_Indicadores!$B$5:$B$17&lt;&gt;$A$12)*Pesos_Indicadores!$G$5:$G$17*(1-Q28)/(1-$B$12)),Normalizacao!$AJ$5:$AJ$17)/R28,""))</f>
        <v>0.864031158794658</v>
      </c>
      <c r="U28" s="60" t="n">
        <f aca="false">IF(R28=0,"",IFERROR(SUMPRODUCT(Normalizacao!$AL$5:$AL$17,Pesos_Indicadores!$I$5:$I$17,((Pesos_Indicadores!$B$5:$B$17=$A$12)*Q28+(Pesos_Indicadores!$B$5:$B$17&lt;&gt;$A$12)*Pesos_Indicadores!$G$5:$G$17*(1-Q28)/(1-$B$12)),Normalizacao!$AK$5:$AK$17)/R28,""))</f>
        <v>0.870569993946297</v>
      </c>
      <c r="V28" s="17" t="str">
        <f aca="false">IF(S28="","",IF(INDEX(S28:U28,$B$5)&gt;=MAX(S28:U28),$B$4,INDEX(Pontuacao!$A$29:$A$31,MATCH(MAX(S28:U28),S28:U28,0))))</f>
        <v>Microsoft Azure</v>
      </c>
      <c r="W28" s="43" t="str">
        <f aca="false">IF(OR(V28="",V28=$B$4,ABS(Q28-$B$12)&lt;0.000000001),"",ABS(Q28-$B$12))</f>
        <v/>
      </c>
    </row>
    <row r="29" customFormat="false" ht="15" hidden="false" customHeight="true" outlineLevel="0" collapsed="false">
      <c r="A29" s="60" t="n">
        <f aca="false">(ROW()-17)*$B$6</f>
        <v>0.06</v>
      </c>
      <c r="B29" s="43" t="n">
        <f aca="false">IFERROR(SUMPRODUCT(Normalizacao!$AL$5:$AL$17,Pesos_Indicadores!$I$5:$I$17,((Pesos_Indicadores!$B$5:$B$17=$A$10)*A29+(Pesos_Indicadores!$B$5:$B$17&lt;&gt;$A$10)*Pesos_Indicadores!$G$5:$G$17*(1-A29)/(1-$B$10))),0)</f>
        <v>0.978307692307692</v>
      </c>
      <c r="C29" s="60" t="n">
        <f aca="false">IF(B29=0,"",IFERROR(SUMPRODUCT(Normalizacao!$AL$5:$AL$17,Pesos_Indicadores!$I$5:$I$17,((Pesos_Indicadores!$B$5:$B$17=$A$10)*A29+(Pesos_Indicadores!$B$5:$B$17&lt;&gt;$A$10)*Pesos_Indicadores!$G$5:$G$17*(1-A29)/(1-$B$10)),Normalizacao!$AI$5:$AI$17)/B29,""))</f>
        <v>0.750137060466382</v>
      </c>
      <c r="D29" s="60" t="n">
        <f aca="false">IF(B29=0,"",IFERROR(SUMPRODUCT(Normalizacao!$AL$5:$AL$17,Pesos_Indicadores!$I$5:$I$17,((Pesos_Indicadores!$B$5:$B$17=$A$10)*A29+(Pesos_Indicadores!$B$5:$B$17&lt;&gt;$A$10)*Pesos_Indicadores!$G$5:$G$17*(1-A29)/(1-$B$10)),Normalizacao!$AJ$5:$AJ$17)/B29,""))</f>
        <v>0.765860693847132</v>
      </c>
      <c r="E29" s="60" t="n">
        <f aca="false">IF(B29=0,"",IFERROR(SUMPRODUCT(Normalizacao!$AL$5:$AL$17,Pesos_Indicadores!$I$5:$I$17,((Pesos_Indicadores!$B$5:$B$17=$A$10)*A29+(Pesos_Indicadores!$B$5:$B$17&lt;&gt;$A$10)*Pesos_Indicadores!$G$5:$G$17*(1-A29)/(1-$B$10)),Normalizacao!$AK$5:$AK$17)/B29,""))</f>
        <v>0.82020848924018</v>
      </c>
      <c r="F29" s="17" t="str">
        <f aca="false">IF(C29="","",IF(INDEX(C29:E29,$B$5)&gt;=MAX(C29:E29),$B$4,INDEX(Pontuacao!$A$29:$A$31,MATCH(MAX(C29:E29),C29:E29,0))))</f>
        <v>Microsoft Azure</v>
      </c>
      <c r="G29" s="43" t="str">
        <f aca="false">IF(OR(F29="",F29=$B$4,ABS(A29-$B$10)&lt;0.000000001),"",ABS(A29-$B$10))</f>
        <v/>
      </c>
      <c r="I29" s="60" t="n">
        <f aca="false">(ROW()-17)*$B$6</f>
        <v>0.06</v>
      </c>
      <c r="J29" s="43" t="n">
        <f aca="false">IFERROR(SUMPRODUCT(Normalizacao!$AL$5:$AL$17,Pesos_Indicadores!$I$5:$I$17,((Pesos_Indicadores!$B$5:$B$17=$A$11)*I29+(Pesos_Indicadores!$B$5:$B$17&lt;&gt;$A$11)*Pesos_Indicadores!$G$5:$G$17*(1-I29)/(1-$B$11))),0)</f>
        <v>0.986153846153846</v>
      </c>
      <c r="K29" s="60" t="n">
        <f aca="false">IF(J29=0,"",IFERROR(SUMPRODUCT(Normalizacao!$AL$5:$AL$17,Pesos_Indicadores!$I$5:$I$17,((Pesos_Indicadores!$B$5:$B$17=$A$11)*I29+(Pesos_Indicadores!$B$5:$B$17&lt;&gt;$A$11)*Pesos_Indicadores!$G$5:$G$17*(1-I29)/(1-$B$11)),Normalizacao!$AI$5:$AI$17)/J29,""))</f>
        <v>0.743405947336292</v>
      </c>
      <c r="L29" s="60" t="n">
        <f aca="false">IF(J29=0,"",IFERROR(SUMPRODUCT(Normalizacao!$AL$5:$AL$17,Pesos_Indicadores!$I$5:$I$17,((Pesos_Indicadores!$B$5:$B$17=$A$11)*I29+(Pesos_Indicadores!$B$5:$B$17&lt;&gt;$A$11)*Pesos_Indicadores!$G$5:$G$17*(1-I29)/(1-$B$11)),Normalizacao!$AJ$5:$AJ$17)/J29,""))</f>
        <v>0.76784364613715</v>
      </c>
      <c r="M29" s="60" t="n">
        <f aca="false">IF(J29=0,"",IFERROR(SUMPRODUCT(Normalizacao!$AL$5:$AL$17,Pesos_Indicadores!$I$5:$I$17,((Pesos_Indicadores!$B$5:$B$17=$A$11)*I29+(Pesos_Indicadores!$B$5:$B$17&lt;&gt;$A$11)*Pesos_Indicadores!$G$5:$G$17*(1-I29)/(1-$B$11)),Normalizacao!$AK$5:$AK$17)/J29,""))</f>
        <v>0.821952403411168</v>
      </c>
      <c r="N29" s="17" t="str">
        <f aca="false">IF(K29="","",IF(INDEX(K29:M29,$B$5)&gt;=MAX(K29:M29),$B$4,INDEX(Pontuacao!$A$29:$A$31,MATCH(MAX(K29:M29),K29:M29,0))))</f>
        <v>Microsoft Azure</v>
      </c>
      <c r="O29" s="43" t="str">
        <f aca="false">IF(OR(N29="",N29=$B$4,ABS(I29-$B$11)&lt;0.000000001),"",ABS(I29-$B$11))</f>
        <v/>
      </c>
      <c r="Q29" s="60" t="n">
        <f aca="false">(ROW()-17)*$B$6</f>
        <v>0.06</v>
      </c>
      <c r="R29" s="43" t="n">
        <f aca="false">IFERROR(SUMPRODUCT(Normalizacao!$AL$5:$AL$17,Pesos_Indicadores!$I$5:$I$17,((Pesos_Indicadores!$B$5:$B$17=$A$12)*Q29+(Pesos_Indicadores!$B$5:$B$17&lt;&gt;$A$12)*Pesos_Indicadores!$G$5:$G$17*(1-Q29)/(1-$B$12))),0)</f>
        <v>0.891538461538462</v>
      </c>
      <c r="S29" s="60" t="n">
        <f aca="false">IF(R29=0,"",IFERROR(SUMPRODUCT(Normalizacao!$AL$5:$AL$17,Pesos_Indicadores!$I$5:$I$17,((Pesos_Indicadores!$B$5:$B$17=$A$12)*Q29+(Pesos_Indicadores!$B$5:$B$17&lt;&gt;$A$12)*Pesos_Indicadores!$G$5:$G$17*(1-Q29)/(1-$B$12)),Normalizacao!$AI$5:$AI$17)/R29,""))</f>
        <v>0.728198552567411</v>
      </c>
      <c r="T29" s="60" t="n">
        <f aca="false">IF(R29=0,"",IFERROR(SUMPRODUCT(Normalizacao!$AL$5:$AL$17,Pesos_Indicadores!$I$5:$I$17,((Pesos_Indicadores!$B$5:$B$17=$A$12)*Q29+(Pesos_Indicadores!$B$5:$B$17&lt;&gt;$A$12)*Pesos_Indicadores!$G$5:$G$17*(1-Q29)/(1-$B$12)),Normalizacao!$AJ$5:$AJ$17)/R29,""))</f>
        <v>0.863354419101925</v>
      </c>
      <c r="U29" s="60" t="n">
        <f aca="false">IF(R29=0,"",IFERROR(SUMPRODUCT(Normalizacao!$AL$5:$AL$17,Pesos_Indicadores!$I$5:$I$17,((Pesos_Indicadores!$B$5:$B$17=$A$12)*Q29+(Pesos_Indicadores!$B$5:$B$17&lt;&gt;$A$12)*Pesos_Indicadores!$G$5:$G$17*(1-Q29)/(1-$B$12)),Normalizacao!$AK$5:$AK$17)/R29,""))</f>
        <v>0.870225366475388</v>
      </c>
      <c r="V29" s="17" t="str">
        <f aca="false">IF(S29="","",IF(INDEX(S29:U29,$B$5)&gt;=MAX(S29:U29),$B$4,INDEX(Pontuacao!$A$29:$A$31,MATCH(MAX(S29:U29),S29:U29,0))))</f>
        <v>Microsoft Azure</v>
      </c>
      <c r="W29" s="43" t="str">
        <f aca="false">IF(OR(V29="",V29=$B$4,ABS(Q29-$B$12)&lt;0.000000001),"",ABS(Q29-$B$12))</f>
        <v/>
      </c>
    </row>
    <row r="30" customFormat="false" ht="15" hidden="false" customHeight="true" outlineLevel="0" collapsed="false">
      <c r="A30" s="60" t="n">
        <f aca="false">(ROW()-17)*$B$6</f>
        <v>0.065</v>
      </c>
      <c r="B30" s="43" t="n">
        <f aca="false">IFERROR(SUMPRODUCT(Normalizacao!$AL$5:$AL$17,Pesos_Indicadores!$I$5:$I$17,((Pesos_Indicadores!$B$5:$B$17=$A$10)*A30+(Pesos_Indicadores!$B$5:$B$17&lt;&gt;$A$10)*Pesos_Indicadores!$G$5:$G$17*(1-A30)/(1-$B$10))),0)</f>
        <v>0.978423076923077</v>
      </c>
      <c r="C30" s="60" t="n">
        <f aca="false">IF(B30=0,"",IFERROR(SUMPRODUCT(Normalizacao!$AL$5:$AL$17,Pesos_Indicadores!$I$5:$I$17,((Pesos_Indicadores!$B$5:$B$17=$A$10)*A30+(Pesos_Indicadores!$B$5:$B$17&lt;&gt;$A$10)*Pesos_Indicadores!$G$5:$G$17*(1-A30)/(1-$B$10)),Normalizacao!$AI$5:$AI$17)/B30,""))</f>
        <v>0.749493302639967</v>
      </c>
      <c r="D30" s="60" t="n">
        <f aca="false">IF(B30=0,"",IFERROR(SUMPRODUCT(Normalizacao!$AL$5:$AL$17,Pesos_Indicadores!$I$5:$I$17,((Pesos_Indicadores!$B$5:$B$17=$A$10)*A30+(Pesos_Indicadores!$B$5:$B$17&lt;&gt;$A$10)*Pesos_Indicadores!$G$5:$G$17*(1-A30)/(1-$B$10)),Normalizacao!$AJ$5:$AJ$17)/B30,""))</f>
        <v>0.766525230004598</v>
      </c>
      <c r="E30" s="60" t="n">
        <f aca="false">IF(B30=0,"",IFERROR(SUMPRODUCT(Normalizacao!$AL$5:$AL$17,Pesos_Indicadores!$I$5:$I$17,((Pesos_Indicadores!$B$5:$B$17=$A$10)*A30+(Pesos_Indicadores!$B$5:$B$17&lt;&gt;$A$10)*Pesos_Indicadores!$G$5:$G$17*(1-A30)/(1-$B$10)),Normalizacao!$AK$5:$AK$17)/B30,""))</f>
        <v>0.820606551594269</v>
      </c>
      <c r="F30" s="17" t="str">
        <f aca="false">IF(C30="","",IF(INDEX(C30:E30,$B$5)&gt;=MAX(C30:E30),$B$4,INDEX(Pontuacao!$A$29:$A$31,MATCH(MAX(C30:E30),C30:E30,0))))</f>
        <v>Microsoft Azure</v>
      </c>
      <c r="G30" s="43" t="str">
        <f aca="false">IF(OR(F30="",F30=$B$4,ABS(A30-$B$10)&lt;0.000000001),"",ABS(A30-$B$10))</f>
        <v/>
      </c>
      <c r="I30" s="60" t="n">
        <f aca="false">(ROW()-17)*$B$6</f>
        <v>0.065</v>
      </c>
      <c r="J30" s="43" t="n">
        <f aca="false">IFERROR(SUMPRODUCT(Normalizacao!$AL$5:$AL$17,Pesos_Indicadores!$I$5:$I$17,((Pesos_Indicadores!$B$5:$B$17=$A$11)*I30+(Pesos_Indicadores!$B$5:$B$17&lt;&gt;$A$11)*Pesos_Indicadores!$G$5:$G$17*(1-I30)/(1-$B$11))),0)</f>
        <v>0.985</v>
      </c>
      <c r="K30" s="60" t="n">
        <f aca="false">IF(J30=0,"",IFERROR(SUMPRODUCT(Normalizacao!$AL$5:$AL$17,Pesos_Indicadores!$I$5:$I$17,((Pesos_Indicadores!$B$5:$B$17=$A$11)*I30+(Pesos_Indicadores!$B$5:$B$17&lt;&gt;$A$11)*Pesos_Indicadores!$G$5:$G$17*(1-I30)/(1-$B$11)),Normalizacao!$AI$5:$AI$17)/J30,""))</f>
        <v>0.743848735030027</v>
      </c>
      <c r="L30" s="60" t="n">
        <f aca="false">IF(J30=0,"",IFERROR(SUMPRODUCT(Normalizacao!$AL$5:$AL$17,Pesos_Indicadores!$I$5:$I$17,((Pesos_Indicadores!$B$5:$B$17=$A$11)*I30+(Pesos_Indicadores!$B$5:$B$17&lt;&gt;$A$11)*Pesos_Indicadores!$G$5:$G$17*(1-I30)/(1-$B$11)),Normalizacao!$AJ$5:$AJ$17)/J30,""))</f>
        <v>0.768184920547341</v>
      </c>
      <c r="M30" s="60" t="n">
        <f aca="false">IF(J30=0,"",IFERROR(SUMPRODUCT(Normalizacao!$AL$5:$AL$17,Pesos_Indicadores!$I$5:$I$17,((Pesos_Indicadores!$B$5:$B$17=$A$11)*I30+(Pesos_Indicadores!$B$5:$B$17&lt;&gt;$A$11)*Pesos_Indicadores!$G$5:$G$17*(1-I30)/(1-$B$11)),Normalizacao!$AK$5:$AK$17)/J30,""))</f>
        <v>0.822067416498581</v>
      </c>
      <c r="N30" s="17" t="str">
        <f aca="false">IF(K30="","",IF(INDEX(K30:M30,$B$5)&gt;=MAX(K30:M30),$B$4,INDEX(Pontuacao!$A$29:$A$31,MATCH(MAX(K30:M30),K30:M30,0))))</f>
        <v>Microsoft Azure</v>
      </c>
      <c r="O30" s="43" t="str">
        <f aca="false">IF(OR(N30="",N30=$B$4,ABS(I30-$B$11)&lt;0.000000001),"",ABS(I30-$B$11))</f>
        <v/>
      </c>
      <c r="Q30" s="60" t="n">
        <f aca="false">(ROW()-17)*$B$6</f>
        <v>0.065</v>
      </c>
      <c r="R30" s="43" t="n">
        <f aca="false">IFERROR(SUMPRODUCT(Normalizacao!$AL$5:$AL$17,Pesos_Indicadores!$I$5:$I$17,((Pesos_Indicadores!$B$5:$B$17=$A$12)*Q30+(Pesos_Indicadores!$B$5:$B$17&lt;&gt;$A$12)*Pesos_Indicadores!$G$5:$G$17*(1-Q30)/(1-$B$12))),0)</f>
        <v>0.892115384615385</v>
      </c>
      <c r="S30" s="60" t="n">
        <f aca="false">IF(R30=0,"",IFERROR(SUMPRODUCT(Normalizacao!$AL$5:$AL$17,Pesos_Indicadores!$I$5:$I$17,((Pesos_Indicadores!$B$5:$B$17=$A$12)*Q30+(Pesos_Indicadores!$B$5:$B$17&lt;&gt;$A$12)*Pesos_Indicadores!$G$5:$G$17*(1-Q30)/(1-$B$12)),Normalizacao!$AI$5:$AI$17)/R30,""))</f>
        <v>0.728328541521663</v>
      </c>
      <c r="T30" s="60" t="n">
        <f aca="false">IF(R30=0,"",IFERROR(SUMPRODUCT(Normalizacao!$AL$5:$AL$17,Pesos_Indicadores!$I$5:$I$17,((Pesos_Indicadores!$B$5:$B$17=$A$12)*Q30+(Pesos_Indicadores!$B$5:$B$17&lt;&gt;$A$12)*Pesos_Indicadores!$G$5:$G$17*(1-Q30)/(1-$B$12)),Normalizacao!$AJ$5:$AJ$17)/R30,""))</f>
        <v>0.86267855469226</v>
      </c>
      <c r="U30" s="60" t="n">
        <f aca="false">IF(R30=0,"",IFERROR(SUMPRODUCT(Normalizacao!$AL$5:$AL$17,Pesos_Indicadores!$I$5:$I$17,((Pesos_Indicadores!$B$5:$B$17=$A$12)*Q30+(Pesos_Indicadores!$B$5:$B$17&lt;&gt;$A$12)*Pesos_Indicadores!$G$5:$G$17*(1-Q30)/(1-$B$12)),Normalizacao!$AK$5:$AK$17)/R30,""))</f>
        <v>0.869881184739513</v>
      </c>
      <c r="V30" s="17" t="str">
        <f aca="false">IF(S30="","",IF(INDEX(S30:U30,$B$5)&gt;=MAX(S30:U30),$B$4,INDEX(Pontuacao!$A$29:$A$31,MATCH(MAX(S30:U30),S30:U30,0))))</f>
        <v>Microsoft Azure</v>
      </c>
      <c r="W30" s="43" t="str">
        <f aca="false">IF(OR(V30="",V30=$B$4,ABS(Q30-$B$12)&lt;0.000000001),"",ABS(Q30-$B$12))</f>
        <v/>
      </c>
    </row>
    <row r="31" customFormat="false" ht="15" hidden="false" customHeight="true" outlineLevel="0" collapsed="false">
      <c r="A31" s="60" t="n">
        <f aca="false">(ROW()-17)*$B$6</f>
        <v>0.07</v>
      </c>
      <c r="B31" s="43" t="n">
        <f aca="false">IFERROR(SUMPRODUCT(Normalizacao!$AL$5:$AL$17,Pesos_Indicadores!$I$5:$I$17,((Pesos_Indicadores!$B$5:$B$17=$A$10)*A31+(Pesos_Indicadores!$B$5:$B$17&lt;&gt;$A$10)*Pesos_Indicadores!$G$5:$G$17*(1-A31)/(1-$B$10))),0)</f>
        <v>0.978538461538462</v>
      </c>
      <c r="C31" s="60" t="n">
        <f aca="false">IF(B31=0,"",IFERROR(SUMPRODUCT(Normalizacao!$AL$5:$AL$17,Pesos_Indicadores!$I$5:$I$17,((Pesos_Indicadores!$B$5:$B$17=$A$10)*A31+(Pesos_Indicadores!$B$5:$B$17&lt;&gt;$A$10)*Pesos_Indicadores!$G$5:$G$17*(1-A31)/(1-$B$10)),Normalizacao!$AI$5:$AI$17)/B31,""))</f>
        <v>0.748849696631293</v>
      </c>
      <c r="D31" s="60" t="n">
        <f aca="false">IF(B31=0,"",IFERROR(SUMPRODUCT(Normalizacao!$AL$5:$AL$17,Pesos_Indicadores!$I$5:$I$17,((Pesos_Indicadores!$B$5:$B$17=$A$10)*A31+(Pesos_Indicadores!$B$5:$B$17&lt;&gt;$A$10)*Pesos_Indicadores!$G$5:$G$17*(1-A31)/(1-$B$10)),Normalizacao!$AJ$5:$AJ$17)/B31,""))</f>
        <v>0.767189609444158</v>
      </c>
      <c r="E31" s="60" t="n">
        <f aca="false">IF(B31=0,"",IFERROR(SUMPRODUCT(Normalizacao!$AL$5:$AL$17,Pesos_Indicadores!$I$5:$I$17,((Pesos_Indicadores!$B$5:$B$17=$A$10)*A31+(Pesos_Indicadores!$B$5:$B$17&lt;&gt;$A$10)*Pesos_Indicadores!$G$5:$G$17*(1-A31)/(1-$B$10)),Normalizacao!$AK$5:$AK$17)/B31,""))</f>
        <v>0.821004520073106</v>
      </c>
      <c r="F31" s="17" t="str">
        <f aca="false">IF(C31="","",IF(INDEX(C31:E31,$B$5)&gt;=MAX(C31:E31),$B$4,INDEX(Pontuacao!$A$29:$A$31,MATCH(MAX(C31:E31),C31:E31,0))))</f>
        <v>Microsoft Azure</v>
      </c>
      <c r="G31" s="43" t="str">
        <f aca="false">IF(OR(F31="",F31=$B$4,ABS(A31-$B$10)&lt;0.000000001),"",ABS(A31-$B$10))</f>
        <v/>
      </c>
      <c r="I31" s="60" t="n">
        <f aca="false">(ROW()-17)*$B$6</f>
        <v>0.07</v>
      </c>
      <c r="J31" s="43" t="n">
        <f aca="false">IFERROR(SUMPRODUCT(Normalizacao!$AL$5:$AL$17,Pesos_Indicadores!$I$5:$I$17,((Pesos_Indicadores!$B$5:$B$17=$A$11)*I31+(Pesos_Indicadores!$B$5:$B$17&lt;&gt;$A$11)*Pesos_Indicadores!$G$5:$G$17*(1-I31)/(1-$B$11))),0)</f>
        <v>0.983846153846154</v>
      </c>
      <c r="K31" s="60" t="n">
        <f aca="false">IF(J31=0,"",IFERROR(SUMPRODUCT(Normalizacao!$AL$5:$AL$17,Pesos_Indicadores!$I$5:$I$17,((Pesos_Indicadores!$B$5:$B$17=$A$11)*I31+(Pesos_Indicadores!$B$5:$B$17&lt;&gt;$A$11)*Pesos_Indicadores!$G$5:$G$17*(1-I31)/(1-$B$11)),Normalizacao!$AI$5:$AI$17)/J31,""))</f>
        <v>0.744292561318822</v>
      </c>
      <c r="L31" s="60" t="n">
        <f aca="false">IF(J31=0,"",IFERROR(SUMPRODUCT(Normalizacao!$AL$5:$AL$17,Pesos_Indicadores!$I$5:$I$17,((Pesos_Indicadores!$B$5:$B$17=$A$11)*I31+(Pesos_Indicadores!$B$5:$B$17&lt;&gt;$A$11)*Pesos_Indicadores!$G$5:$G$17*(1-I31)/(1-$B$11)),Normalizacao!$AJ$5:$AJ$17)/J31,""))</f>
        <v>0.768526995444811</v>
      </c>
      <c r="M31" s="60" t="n">
        <f aca="false">IF(J31=0,"",IFERROR(SUMPRODUCT(Normalizacao!$AL$5:$AL$17,Pesos_Indicadores!$I$5:$I$17,((Pesos_Indicadores!$B$5:$B$17=$A$11)*I31+(Pesos_Indicadores!$B$5:$B$17&lt;&gt;$A$11)*Pesos_Indicadores!$G$5:$G$17*(1-I31)/(1-$B$11)),Normalizacao!$AK$5:$AK$17)/J31,""))</f>
        <v>0.822182699358677</v>
      </c>
      <c r="N31" s="17" t="str">
        <f aca="false">IF(K31="","",IF(INDEX(K31:M31,$B$5)&gt;=MAX(K31:M31),$B$4,INDEX(Pontuacao!$A$29:$A$31,MATCH(MAX(K31:M31),K31:M31,0))))</f>
        <v>Microsoft Azure</v>
      </c>
      <c r="O31" s="43" t="str">
        <f aca="false">IF(OR(N31="",N31=$B$4,ABS(I31-$B$11)&lt;0.000000001),"",ABS(I31-$B$11))</f>
        <v/>
      </c>
      <c r="Q31" s="60" t="n">
        <f aca="false">(ROW()-17)*$B$6</f>
        <v>0.07</v>
      </c>
      <c r="R31" s="43" t="n">
        <f aca="false">IFERROR(SUMPRODUCT(Normalizacao!$AL$5:$AL$17,Pesos_Indicadores!$I$5:$I$17,((Pesos_Indicadores!$B$5:$B$17=$A$12)*Q31+(Pesos_Indicadores!$B$5:$B$17&lt;&gt;$A$12)*Pesos_Indicadores!$G$5:$G$17*(1-Q31)/(1-$B$12))),0)</f>
        <v>0.892692307692308</v>
      </c>
      <c r="S31" s="60" t="n">
        <f aca="false">IF(R31=0,"",IFERROR(SUMPRODUCT(Normalizacao!$AL$5:$AL$17,Pesos_Indicadores!$I$5:$I$17,((Pesos_Indicadores!$B$5:$B$17=$A$12)*Q31+(Pesos_Indicadores!$B$5:$B$17&lt;&gt;$A$12)*Pesos_Indicadores!$G$5:$G$17*(1-Q31)/(1-$B$12)),Normalizacao!$AI$5:$AI$17)/R31,""))</f>
        <v>0.72845836245917</v>
      </c>
      <c r="T31" s="60" t="n">
        <f aca="false">IF(R31=0,"",IFERROR(SUMPRODUCT(Normalizacao!$AL$5:$AL$17,Pesos_Indicadores!$I$5:$I$17,((Pesos_Indicadores!$B$5:$B$17=$A$12)*Q31+(Pesos_Indicadores!$B$5:$B$17&lt;&gt;$A$12)*Pesos_Indicadores!$G$5:$G$17*(1-Q31)/(1-$B$12)),Normalizacao!$AJ$5:$AJ$17)/R31,""))</f>
        <v>0.862003563868647</v>
      </c>
      <c r="U31" s="60" t="n">
        <f aca="false">IF(R31=0,"",IFERROR(SUMPRODUCT(Normalizacao!$AL$5:$AL$17,Pesos_Indicadores!$I$5:$I$17,((Pesos_Indicadores!$B$5:$B$17=$A$12)*Q31+(Pesos_Indicadores!$B$5:$B$17&lt;&gt;$A$12)*Pesos_Indicadores!$G$5:$G$17*(1-Q31)/(1-$B$12)),Normalizacao!$AK$5:$AK$17)/R31,""))</f>
        <v>0.869537447874473</v>
      </c>
      <c r="V31" s="17" t="str">
        <f aca="false">IF(S31="","",IF(INDEX(S31:U31,$B$5)&gt;=MAX(S31:U31),$B$4,INDEX(Pontuacao!$A$29:$A$31,MATCH(MAX(S31:U31),S31:U31,0))))</f>
        <v>Microsoft Azure</v>
      </c>
      <c r="W31" s="43" t="str">
        <f aca="false">IF(OR(V31="",V31=$B$4,ABS(Q31-$B$12)&lt;0.000000001),"",ABS(Q31-$B$12))</f>
        <v/>
      </c>
    </row>
    <row r="32" customFormat="false" ht="15" hidden="false" customHeight="true" outlineLevel="0" collapsed="false">
      <c r="A32" s="60" t="n">
        <f aca="false">(ROW()-17)*$B$6</f>
        <v>0.075</v>
      </c>
      <c r="B32" s="43" t="n">
        <f aca="false">IFERROR(SUMPRODUCT(Normalizacao!$AL$5:$AL$17,Pesos_Indicadores!$I$5:$I$17,((Pesos_Indicadores!$B$5:$B$17=$A$10)*A32+(Pesos_Indicadores!$B$5:$B$17&lt;&gt;$A$10)*Pesos_Indicadores!$G$5:$G$17*(1-A32)/(1-$B$10))),0)</f>
        <v>0.978653846153846</v>
      </c>
      <c r="C32" s="60" t="n">
        <f aca="false">IF(B32=0,"",IFERROR(SUMPRODUCT(Normalizacao!$AL$5:$AL$17,Pesos_Indicadores!$I$5:$I$17,((Pesos_Indicadores!$B$5:$B$17=$A$10)*A32+(Pesos_Indicadores!$B$5:$B$17&lt;&gt;$A$10)*Pesos_Indicadores!$G$5:$G$17*(1-A32)/(1-$B$10)),Normalizacao!$AI$5:$AI$17)/B32,""))</f>
        <v>0.748206242386662</v>
      </c>
      <c r="D32" s="60" t="n">
        <f aca="false">IF(B32=0,"",IFERROR(SUMPRODUCT(Normalizacao!$AL$5:$AL$17,Pesos_Indicadores!$I$5:$I$17,((Pesos_Indicadores!$B$5:$B$17=$A$10)*A32+(Pesos_Indicadores!$B$5:$B$17&lt;&gt;$A$10)*Pesos_Indicadores!$G$5:$G$17*(1-A32)/(1-$B$10)),Normalizacao!$AJ$5:$AJ$17)/B32,""))</f>
        <v>0.767853832221244</v>
      </c>
      <c r="E32" s="60" t="n">
        <f aca="false">IF(B32=0,"",IFERROR(SUMPRODUCT(Normalizacao!$AL$5:$AL$17,Pesos_Indicadores!$I$5:$I$17,((Pesos_Indicadores!$B$5:$B$17=$A$10)*A32+(Pesos_Indicadores!$B$5:$B$17&lt;&gt;$A$10)*Pesos_Indicadores!$G$5:$G$17*(1-A32)/(1-$B$10)),Normalizacao!$AK$5:$AK$17)/B32,""))</f>
        <v>0.821402394709897</v>
      </c>
      <c r="F32" s="17" t="str">
        <f aca="false">IF(C32="","",IF(INDEX(C32:E32,$B$5)&gt;=MAX(C32:E32),$B$4,INDEX(Pontuacao!$A$29:$A$31,MATCH(MAX(C32:E32),C32:E32,0))))</f>
        <v>Microsoft Azure</v>
      </c>
      <c r="G32" s="43" t="str">
        <f aca="false">IF(OR(F32="",F32=$B$4,ABS(A32-$B$10)&lt;0.000000001),"",ABS(A32-$B$10))</f>
        <v/>
      </c>
      <c r="I32" s="60" t="n">
        <f aca="false">(ROW()-17)*$B$6</f>
        <v>0.075</v>
      </c>
      <c r="J32" s="43" t="n">
        <f aca="false">IFERROR(SUMPRODUCT(Normalizacao!$AL$5:$AL$17,Pesos_Indicadores!$I$5:$I$17,((Pesos_Indicadores!$B$5:$B$17=$A$11)*I32+(Pesos_Indicadores!$B$5:$B$17&lt;&gt;$A$11)*Pesos_Indicadores!$G$5:$G$17*(1-I32)/(1-$B$11))),0)</f>
        <v>0.982692307692308</v>
      </c>
      <c r="K32" s="60" t="n">
        <f aca="false">IF(J32=0,"",IFERROR(SUMPRODUCT(Normalizacao!$AL$5:$AL$17,Pesos_Indicadores!$I$5:$I$17,((Pesos_Indicadores!$B$5:$B$17=$A$11)*I32+(Pesos_Indicadores!$B$5:$B$17&lt;&gt;$A$11)*Pesos_Indicadores!$G$5:$G$17*(1-I32)/(1-$B$11)),Normalizacao!$AI$5:$AI$17)/J32,""))</f>
        <v>0.744737429861133</v>
      </c>
      <c r="L32" s="60" t="n">
        <f aca="false">IF(J32=0,"",IFERROR(SUMPRODUCT(Normalizacao!$AL$5:$AL$17,Pesos_Indicadores!$I$5:$I$17,((Pesos_Indicadores!$B$5:$B$17=$A$11)*I32+(Pesos_Indicadores!$B$5:$B$17&lt;&gt;$A$11)*Pesos_Indicadores!$G$5:$G$17*(1-I32)/(1-$B$11)),Normalizacao!$AJ$5:$AJ$17)/J32,""))</f>
        <v>0.768869873649281</v>
      </c>
      <c r="M32" s="60" t="n">
        <f aca="false">IF(J32=0,"",IFERROR(SUMPRODUCT(Normalizacao!$AL$5:$AL$17,Pesos_Indicadores!$I$5:$I$17,((Pesos_Indicadores!$B$5:$B$17=$A$11)*I32+(Pesos_Indicadores!$B$5:$B$17&lt;&gt;$A$11)*Pesos_Indicadores!$G$5:$G$17*(1-I32)/(1-$B$11)),Normalizacao!$AK$5:$AK$17)/J32,""))</f>
        <v>0.822298252941733</v>
      </c>
      <c r="N32" s="17" t="str">
        <f aca="false">IF(K32="","",IF(INDEX(K32:M32,$B$5)&gt;=MAX(K32:M32),$B$4,INDEX(Pontuacao!$A$29:$A$31,MATCH(MAX(K32:M32),K32:M32,0))))</f>
        <v>Microsoft Azure</v>
      </c>
      <c r="O32" s="43" t="str">
        <f aca="false">IF(OR(N32="",N32=$B$4,ABS(I32-$B$11)&lt;0.000000001),"",ABS(I32-$B$11))</f>
        <v/>
      </c>
      <c r="Q32" s="60" t="n">
        <f aca="false">(ROW()-17)*$B$6</f>
        <v>0.075</v>
      </c>
      <c r="R32" s="43" t="n">
        <f aca="false">IFERROR(SUMPRODUCT(Normalizacao!$AL$5:$AL$17,Pesos_Indicadores!$I$5:$I$17,((Pesos_Indicadores!$B$5:$B$17=$A$12)*Q32+(Pesos_Indicadores!$B$5:$B$17&lt;&gt;$A$12)*Pesos_Indicadores!$G$5:$G$17*(1-Q32)/(1-$B$12))),0)</f>
        <v>0.893269230769231</v>
      </c>
      <c r="S32" s="60" t="n">
        <f aca="false">IF(R32=0,"",IFERROR(SUMPRODUCT(Normalizacao!$AL$5:$AL$17,Pesos_Indicadores!$I$5:$I$17,((Pesos_Indicadores!$B$5:$B$17=$A$12)*Q32+(Pesos_Indicadores!$B$5:$B$17&lt;&gt;$A$12)*Pesos_Indicadores!$G$5:$G$17*(1-Q32)/(1-$B$12)),Normalizacao!$AI$5:$AI$17)/R32,""))</f>
        <v>0.728588015705478</v>
      </c>
      <c r="T32" s="60" t="n">
        <f aca="false">IF(R32=0,"",IFERROR(SUMPRODUCT(Normalizacao!$AL$5:$AL$17,Pesos_Indicadores!$I$5:$I$17,((Pesos_Indicadores!$B$5:$B$17=$A$12)*Q32+(Pesos_Indicadores!$B$5:$B$17&lt;&gt;$A$12)*Pesos_Indicadores!$G$5:$G$17*(1-Q32)/(1-$B$12)),Normalizacao!$AJ$5:$AJ$17)/R32,""))</f>
        <v>0.861329444938457</v>
      </c>
      <c r="U32" s="60" t="n">
        <f aca="false">IF(R32=0,"",IFERROR(SUMPRODUCT(Normalizacao!$AL$5:$AL$17,Pesos_Indicadores!$I$5:$I$17,((Pesos_Indicadores!$B$5:$B$17=$A$12)*Q32+(Pesos_Indicadores!$B$5:$B$17&lt;&gt;$A$12)*Pesos_Indicadores!$G$5:$G$17*(1-Q32)/(1-$B$12)),Normalizacao!$AK$5:$AK$17)/R32,""))</f>
        <v>0.869194155018301</v>
      </c>
      <c r="V32" s="17" t="str">
        <f aca="false">IF(S32="","",IF(INDEX(S32:U32,$B$5)&gt;=MAX(S32:U32),$B$4,INDEX(Pontuacao!$A$29:$A$31,MATCH(MAX(S32:U32),S32:U32,0))))</f>
        <v>Microsoft Azure</v>
      </c>
      <c r="W32" s="43" t="str">
        <f aca="false">IF(OR(V32="",V32=$B$4,ABS(Q32-$B$12)&lt;0.000000001),"",ABS(Q32-$B$12))</f>
        <v/>
      </c>
    </row>
    <row r="33" customFormat="false" ht="15" hidden="false" customHeight="true" outlineLevel="0" collapsed="false">
      <c r="A33" s="60" t="n">
        <f aca="false">(ROW()-17)*$B$6</f>
        <v>0.08</v>
      </c>
      <c r="B33" s="43" t="n">
        <f aca="false">IFERROR(SUMPRODUCT(Normalizacao!$AL$5:$AL$17,Pesos_Indicadores!$I$5:$I$17,((Pesos_Indicadores!$B$5:$B$17=$A$10)*A33+(Pesos_Indicadores!$B$5:$B$17&lt;&gt;$A$10)*Pesos_Indicadores!$G$5:$G$17*(1-A33)/(1-$B$10))),0)</f>
        <v>0.978769230769231</v>
      </c>
      <c r="C33" s="60" t="n">
        <f aca="false">IF(B33=0,"",IFERROR(SUMPRODUCT(Normalizacao!$AL$5:$AL$17,Pesos_Indicadores!$I$5:$I$17,((Pesos_Indicadores!$B$5:$B$17=$A$10)*A33+(Pesos_Indicadores!$B$5:$B$17&lt;&gt;$A$10)*Pesos_Indicadores!$G$5:$G$17*(1-A33)/(1-$B$10)),Normalizacao!$AI$5:$AI$17)/B33,""))</f>
        <v>0.747562939852399</v>
      </c>
      <c r="D33" s="60" t="n">
        <f aca="false">IF(B33=0,"",IFERROR(SUMPRODUCT(Normalizacao!$AL$5:$AL$17,Pesos_Indicadores!$I$5:$I$17,((Pesos_Indicadores!$B$5:$B$17=$A$10)*A33+(Pesos_Indicadores!$B$5:$B$17&lt;&gt;$A$10)*Pesos_Indicadores!$G$5:$G$17*(1-A33)/(1-$B$10)),Normalizacao!$AJ$5:$AJ$17)/B33,""))</f>
        <v>0.768517898391263</v>
      </c>
      <c r="E33" s="60" t="n">
        <f aca="false">IF(B33=0,"",IFERROR(SUMPRODUCT(Normalizacao!$AL$5:$AL$17,Pesos_Indicadores!$I$5:$I$17,((Pesos_Indicadores!$B$5:$B$17=$A$10)*A33+(Pesos_Indicadores!$B$5:$B$17&lt;&gt;$A$10)*Pesos_Indicadores!$G$5:$G$17*(1-A33)/(1-$B$10)),Normalizacao!$AK$5:$AK$17)/B33,""))</f>
        <v>0.82180017553783</v>
      </c>
      <c r="F33" s="17" t="str">
        <f aca="false">IF(C33="","",IF(INDEX(C33:E33,$B$5)&gt;=MAX(C33:E33),$B$4,INDEX(Pontuacao!$A$29:$A$31,MATCH(MAX(C33:E33),C33:E33,0))))</f>
        <v>Microsoft Azure</v>
      </c>
      <c r="G33" s="43" t="str">
        <f aca="false">IF(OR(F33="",F33=$B$4,ABS(A33-$B$10)&lt;0.000000001),"",ABS(A33-$B$10))</f>
        <v/>
      </c>
      <c r="I33" s="60" t="n">
        <f aca="false">(ROW()-17)*$B$6</f>
        <v>0.08</v>
      </c>
      <c r="J33" s="43" t="n">
        <f aca="false">IFERROR(SUMPRODUCT(Normalizacao!$AL$5:$AL$17,Pesos_Indicadores!$I$5:$I$17,((Pesos_Indicadores!$B$5:$B$17=$A$11)*I33+(Pesos_Indicadores!$B$5:$B$17&lt;&gt;$A$11)*Pesos_Indicadores!$G$5:$G$17*(1-I33)/(1-$B$11))),0)</f>
        <v>0.981538461538462</v>
      </c>
      <c r="K33" s="60" t="n">
        <f aca="false">IF(J33=0,"",IFERROR(SUMPRODUCT(Normalizacao!$AL$5:$AL$17,Pesos_Indicadores!$I$5:$I$17,((Pesos_Indicadores!$B$5:$B$17=$A$11)*I33+(Pesos_Indicadores!$B$5:$B$17&lt;&gt;$A$11)*Pesos_Indicadores!$G$5:$G$17*(1-I33)/(1-$B$11)),Normalizacao!$AI$5:$AI$17)/J33,""))</f>
        <v>0.745183344332618</v>
      </c>
      <c r="L33" s="60" t="n">
        <f aca="false">IF(J33=0,"",IFERROR(SUMPRODUCT(Normalizacao!$AL$5:$AL$17,Pesos_Indicadores!$I$5:$I$17,((Pesos_Indicadores!$B$5:$B$17=$A$11)*I33+(Pesos_Indicadores!$B$5:$B$17&lt;&gt;$A$11)*Pesos_Indicadores!$G$5:$G$17*(1-I33)/(1-$B$11)),Normalizacao!$AJ$5:$AJ$17)/J33,""))</f>
        <v>0.76921355799373</v>
      </c>
      <c r="M33" s="60" t="n">
        <f aca="false">IF(J33=0,"",IFERROR(SUMPRODUCT(Normalizacao!$AL$5:$AL$17,Pesos_Indicadores!$I$5:$I$17,((Pesos_Indicadores!$B$5:$B$17=$A$11)*I33+(Pesos_Indicadores!$B$5:$B$17&lt;&gt;$A$11)*Pesos_Indicadores!$G$5:$G$17*(1-I33)/(1-$B$11)),Normalizacao!$AK$5:$AK$17)/J33,""))</f>
        <v>0.822414078202491</v>
      </c>
      <c r="N33" s="17" t="str">
        <f aca="false">IF(K33="","",IF(INDEX(K33:M33,$B$5)&gt;=MAX(K33:M33),$B$4,INDEX(Pontuacao!$A$29:$A$31,MATCH(MAX(K33:M33),K33:M33,0))))</f>
        <v>Microsoft Azure</v>
      </c>
      <c r="O33" s="43" t="str">
        <f aca="false">IF(OR(N33="",N33=$B$4,ABS(I33-$B$11)&lt;0.000000001),"",ABS(I33-$B$11))</f>
        <v/>
      </c>
      <c r="Q33" s="60" t="n">
        <f aca="false">(ROW()-17)*$B$6</f>
        <v>0.08</v>
      </c>
      <c r="R33" s="43" t="n">
        <f aca="false">IFERROR(SUMPRODUCT(Normalizacao!$AL$5:$AL$17,Pesos_Indicadores!$I$5:$I$17,((Pesos_Indicadores!$B$5:$B$17=$A$12)*Q33+(Pesos_Indicadores!$B$5:$B$17&lt;&gt;$A$12)*Pesos_Indicadores!$G$5:$G$17*(1-Q33)/(1-$B$12))),0)</f>
        <v>0.893846153846154</v>
      </c>
      <c r="S33" s="60" t="n">
        <f aca="false">IF(R33=0,"",IFERROR(SUMPRODUCT(Normalizacao!$AL$5:$AL$17,Pesos_Indicadores!$I$5:$I$17,((Pesos_Indicadores!$B$5:$B$17=$A$12)*Q33+(Pesos_Indicadores!$B$5:$B$17&lt;&gt;$A$12)*Pesos_Indicadores!$G$5:$G$17*(1-Q33)/(1-$B$12)),Normalizacao!$AI$5:$AI$17)/R33,""))</f>
        <v>0.728717501585289</v>
      </c>
      <c r="T33" s="60" t="n">
        <f aca="false">IF(R33=0,"",IFERROR(SUMPRODUCT(Normalizacao!$AL$5:$AL$17,Pesos_Indicadores!$I$5:$I$17,((Pesos_Indicadores!$B$5:$B$17=$A$12)*Q33+(Pesos_Indicadores!$B$5:$B$17&lt;&gt;$A$12)*Pesos_Indicadores!$G$5:$G$17*(1-Q33)/(1-$B$12)),Normalizacao!$AJ$5:$AJ$17)/R33,""))</f>
        <v>0.860656196213425</v>
      </c>
      <c r="U33" s="60" t="n">
        <f aca="false">IF(R33=0,"",IFERROR(SUMPRODUCT(Normalizacao!$AL$5:$AL$17,Pesos_Indicadores!$I$5:$I$17,((Pesos_Indicadores!$B$5:$B$17=$A$12)*Q33+(Pesos_Indicadores!$B$5:$B$17&lt;&gt;$A$12)*Pesos_Indicadores!$G$5:$G$17*(1-Q33)/(1-$B$12)),Normalizacao!$AK$5:$AK$17)/R33,""))</f>
        <v>0.868851305311254</v>
      </c>
      <c r="V33" s="17" t="str">
        <f aca="false">IF(S33="","",IF(INDEX(S33:U33,$B$5)&gt;=MAX(S33:U33),$B$4,INDEX(Pontuacao!$A$29:$A$31,MATCH(MAX(S33:U33),S33:U33,0))))</f>
        <v>Microsoft Azure</v>
      </c>
      <c r="W33" s="43" t="str">
        <f aca="false">IF(OR(V33="",V33=$B$4,ABS(Q33-$B$12)&lt;0.000000001),"",ABS(Q33-$B$12))</f>
        <v/>
      </c>
    </row>
    <row r="34" customFormat="false" ht="15" hidden="false" customHeight="true" outlineLevel="0" collapsed="false">
      <c r="A34" s="60" t="n">
        <f aca="false">(ROW()-17)*$B$6</f>
        <v>0.085</v>
      </c>
      <c r="B34" s="43" t="n">
        <f aca="false">IFERROR(SUMPRODUCT(Normalizacao!$AL$5:$AL$17,Pesos_Indicadores!$I$5:$I$17,((Pesos_Indicadores!$B$5:$B$17=$A$10)*A34+(Pesos_Indicadores!$B$5:$B$17&lt;&gt;$A$10)*Pesos_Indicadores!$G$5:$G$17*(1-A34)/(1-$B$10))),0)</f>
        <v>0.978884615384616</v>
      </c>
      <c r="C34" s="60" t="n">
        <f aca="false">IF(B34=0,"",IFERROR(SUMPRODUCT(Normalizacao!$AL$5:$AL$17,Pesos_Indicadores!$I$5:$I$17,((Pesos_Indicadores!$B$5:$B$17=$A$10)*A34+(Pesos_Indicadores!$B$5:$B$17&lt;&gt;$A$10)*Pesos_Indicadores!$G$5:$G$17*(1-A34)/(1-$B$10)),Normalizacao!$AI$5:$AI$17)/B34,""))</f>
        <v>0.746919788974857</v>
      </c>
      <c r="D34" s="60" t="n">
        <f aca="false">IF(B34=0,"",IFERROR(SUMPRODUCT(Normalizacao!$AL$5:$AL$17,Pesos_Indicadores!$I$5:$I$17,((Pesos_Indicadores!$B$5:$B$17=$A$10)*A34+(Pesos_Indicadores!$B$5:$B$17&lt;&gt;$A$10)*Pesos_Indicadores!$G$5:$G$17*(1-A34)/(1-$B$10)),Normalizacao!$AJ$5:$AJ$17)/B34,""))</f>
        <v>0.769181808009594</v>
      </c>
      <c r="E34" s="60" t="n">
        <f aca="false">IF(B34=0,"",IFERROR(SUMPRODUCT(Normalizacao!$AL$5:$AL$17,Pesos_Indicadores!$I$5:$I$17,((Pesos_Indicadores!$B$5:$B$17=$A$10)*A34+(Pesos_Indicadores!$B$5:$B$17&lt;&gt;$A$10)*Pesos_Indicadores!$G$5:$G$17*(1-A34)/(1-$B$10)),Normalizacao!$AK$5:$AK$17)/B34,""))</f>
        <v>0.822197862590078</v>
      </c>
      <c r="F34" s="17" t="str">
        <f aca="false">IF(C34="","",IF(INDEX(C34:E34,$B$5)&gt;=MAX(C34:E34),$B$4,INDEX(Pontuacao!$A$29:$A$31,MATCH(MAX(C34:E34),C34:E34,0))))</f>
        <v>Microsoft Azure</v>
      </c>
      <c r="G34" s="43" t="str">
        <f aca="false">IF(OR(F34="",F34=$B$4,ABS(A34-$B$10)&lt;0.000000001),"",ABS(A34-$B$10))</f>
        <v/>
      </c>
      <c r="I34" s="60" t="n">
        <f aca="false">(ROW()-17)*$B$6</f>
        <v>0.085</v>
      </c>
      <c r="J34" s="43" t="n">
        <f aca="false">IFERROR(SUMPRODUCT(Normalizacao!$AL$5:$AL$17,Pesos_Indicadores!$I$5:$I$17,((Pesos_Indicadores!$B$5:$B$17=$A$11)*I34+(Pesos_Indicadores!$B$5:$B$17&lt;&gt;$A$11)*Pesos_Indicadores!$G$5:$G$17*(1-I34)/(1-$B$11))),0)</f>
        <v>0.980384615384616</v>
      </c>
      <c r="K34" s="60" t="n">
        <f aca="false">IF(J34=0,"",IFERROR(SUMPRODUCT(Normalizacao!$AL$5:$AL$17,Pesos_Indicadores!$I$5:$I$17,((Pesos_Indicadores!$B$5:$B$17=$A$11)*I34+(Pesos_Indicadores!$B$5:$B$17&lt;&gt;$A$11)*Pesos_Indicadores!$G$5:$G$17*(1-I34)/(1-$B$11)),Normalizacao!$AI$5:$AI$17)/J34,""))</f>
        <v>0.745630308426242</v>
      </c>
      <c r="L34" s="60" t="n">
        <f aca="false">IF(J34=0,"",IFERROR(SUMPRODUCT(Normalizacao!$AL$5:$AL$17,Pesos_Indicadores!$I$5:$I$17,((Pesos_Indicadores!$B$5:$B$17=$A$11)*I34+(Pesos_Indicadores!$B$5:$B$17&lt;&gt;$A$11)*Pesos_Indicadores!$G$5:$G$17*(1-I34)/(1-$B$11)),Normalizacao!$AJ$5:$AJ$17)/J34,""))</f>
        <v>0.769558051324475</v>
      </c>
      <c r="M34" s="60" t="n">
        <f aca="false">IF(J34=0,"",IFERROR(SUMPRODUCT(Normalizacao!$AL$5:$AL$17,Pesos_Indicadores!$I$5:$I$17,((Pesos_Indicadores!$B$5:$B$17=$A$11)*I34+(Pesos_Indicadores!$B$5:$B$17&lt;&gt;$A$11)*Pesos_Indicadores!$G$5:$G$17*(1-I34)/(1-$B$11)),Normalizacao!$AK$5:$AK$17)/J34,""))</f>
        <v>0.822530176100191</v>
      </c>
      <c r="N34" s="17" t="str">
        <f aca="false">IF(K34="","",IF(INDEX(K34:M34,$B$5)&gt;=MAX(K34:M34),$B$4,INDEX(Pontuacao!$A$29:$A$31,MATCH(MAX(K34:M34),K34:M34,0))))</f>
        <v>Microsoft Azure</v>
      </c>
      <c r="O34" s="43" t="str">
        <f aca="false">IF(OR(N34="",N34=$B$4,ABS(I34-$B$11)&lt;0.000000001),"",ABS(I34-$B$11))</f>
        <v/>
      </c>
      <c r="Q34" s="60" t="n">
        <f aca="false">(ROW()-17)*$B$6</f>
        <v>0.085</v>
      </c>
      <c r="R34" s="43" t="n">
        <f aca="false">IFERROR(SUMPRODUCT(Normalizacao!$AL$5:$AL$17,Pesos_Indicadores!$I$5:$I$17,((Pesos_Indicadores!$B$5:$B$17=$A$12)*Q34+(Pesos_Indicadores!$B$5:$B$17&lt;&gt;$A$12)*Pesos_Indicadores!$G$5:$G$17*(1-Q34)/(1-$B$12))),0)</f>
        <v>0.894423076923077</v>
      </c>
      <c r="S34" s="60" t="n">
        <f aca="false">IF(R34=0,"",IFERROR(SUMPRODUCT(Normalizacao!$AL$5:$AL$17,Pesos_Indicadores!$I$5:$I$17,((Pesos_Indicadores!$B$5:$B$17=$A$12)*Q34+(Pesos_Indicadores!$B$5:$B$17&lt;&gt;$A$12)*Pesos_Indicadores!$G$5:$G$17*(1-Q34)/(1-$B$12)),Normalizacao!$AI$5:$AI$17)/R34,""))</f>
        <v>0.728846820422468</v>
      </c>
      <c r="T34" s="60" t="n">
        <f aca="false">IF(R34=0,"",IFERROR(SUMPRODUCT(Normalizacao!$AL$5:$AL$17,Pesos_Indicadores!$I$5:$I$17,((Pesos_Indicadores!$B$5:$B$17=$A$12)*Q34+(Pesos_Indicadores!$B$5:$B$17&lt;&gt;$A$12)*Pesos_Indicadores!$G$5:$G$17*(1-Q34)/(1-$B$12)),Normalizacao!$AJ$5:$AJ$17)/R34,""))</f>
        <v>0.859983816009647</v>
      </c>
      <c r="U34" s="60" t="n">
        <f aca="false">IF(R34=0,"",IFERROR(SUMPRODUCT(Normalizacao!$AL$5:$AL$17,Pesos_Indicadores!$I$5:$I$17,((Pesos_Indicadores!$B$5:$B$17=$A$12)*Q34+(Pesos_Indicadores!$B$5:$B$17&lt;&gt;$A$12)*Pesos_Indicadores!$G$5:$G$17*(1-Q34)/(1-$B$12)),Normalizacao!$AK$5:$AK$17)/R34,""))</f>
        <v>0.86850889789581</v>
      </c>
      <c r="V34" s="17" t="str">
        <f aca="false">IF(S34="","",IF(INDEX(S34:U34,$B$5)&gt;=MAX(S34:U34),$B$4,INDEX(Pontuacao!$A$29:$A$31,MATCH(MAX(S34:U34),S34:U34,0))))</f>
        <v>Microsoft Azure</v>
      </c>
      <c r="W34" s="43" t="str">
        <f aca="false">IF(OR(V34="",V34=$B$4,ABS(Q34-$B$12)&lt;0.000000001),"",ABS(Q34-$B$12))</f>
        <v/>
      </c>
    </row>
    <row r="35" customFormat="false" ht="15" hidden="false" customHeight="true" outlineLevel="0" collapsed="false">
      <c r="A35" s="60" t="n">
        <f aca="false">(ROW()-17)*$B$6</f>
        <v>0.09</v>
      </c>
      <c r="B35" s="43" t="n">
        <f aca="false">IFERROR(SUMPRODUCT(Normalizacao!$AL$5:$AL$17,Pesos_Indicadores!$I$5:$I$17,((Pesos_Indicadores!$B$5:$B$17=$A$10)*A35+(Pesos_Indicadores!$B$5:$B$17&lt;&gt;$A$10)*Pesos_Indicadores!$G$5:$G$17*(1-A35)/(1-$B$10))),0)</f>
        <v>0.979</v>
      </c>
      <c r="C35" s="60" t="n">
        <f aca="false">IF(B35=0,"",IFERROR(SUMPRODUCT(Normalizacao!$AL$5:$AL$17,Pesos_Indicadores!$I$5:$I$17,((Pesos_Indicadores!$B$5:$B$17=$A$10)*A35+(Pesos_Indicadores!$B$5:$B$17&lt;&gt;$A$10)*Pesos_Indicadores!$G$5:$G$17*(1-A35)/(1-$B$10)),Normalizacao!$AI$5:$AI$17)/B35,""))</f>
        <v>0.746276789700414</v>
      </c>
      <c r="D35" s="60" t="n">
        <f aca="false">IF(B35=0,"",IFERROR(SUMPRODUCT(Normalizacao!$AL$5:$AL$17,Pesos_Indicadores!$I$5:$I$17,((Pesos_Indicadores!$B$5:$B$17=$A$10)*A35+(Pesos_Indicadores!$B$5:$B$17&lt;&gt;$A$10)*Pesos_Indicadores!$G$5:$G$17*(1-A35)/(1-$B$10)),Normalizacao!$AJ$5:$AJ$17)/B35,""))</f>
        <v>0.76984556113159</v>
      </c>
      <c r="E35" s="60" t="n">
        <f aca="false">IF(B35=0,"",IFERROR(SUMPRODUCT(Normalizacao!$AL$5:$AL$17,Pesos_Indicadores!$I$5:$I$17,((Pesos_Indicadores!$B$5:$B$17=$A$10)*A35+(Pesos_Indicadores!$B$5:$B$17&lt;&gt;$A$10)*Pesos_Indicadores!$G$5:$G$17*(1-A35)/(1-$B$10)),Normalizacao!$AK$5:$AK$17)/B35,""))</f>
        <v>0.822595455899798</v>
      </c>
      <c r="F35" s="17" t="str">
        <f aca="false">IF(C35="","",IF(INDEX(C35:E35,$B$5)&gt;=MAX(C35:E35),$B$4,INDEX(Pontuacao!$A$29:$A$31,MATCH(MAX(C35:E35),C35:E35,0))))</f>
        <v>Microsoft Azure</v>
      </c>
      <c r="G35" s="43" t="str">
        <f aca="false">IF(OR(F35="",F35=$B$4,ABS(A35-$B$10)&lt;0.000000001),"",ABS(A35-$B$10))</f>
        <v/>
      </c>
      <c r="I35" s="60" t="n">
        <f aca="false">(ROW()-17)*$B$6</f>
        <v>0.09</v>
      </c>
      <c r="J35" s="43" t="n">
        <f aca="false">IFERROR(SUMPRODUCT(Normalizacao!$AL$5:$AL$17,Pesos_Indicadores!$I$5:$I$17,((Pesos_Indicadores!$B$5:$B$17=$A$11)*I35+(Pesos_Indicadores!$B$5:$B$17&lt;&gt;$A$11)*Pesos_Indicadores!$G$5:$G$17*(1-I35)/(1-$B$11))),0)</f>
        <v>0.979230769230769</v>
      </c>
      <c r="K35" s="60" t="n">
        <f aca="false">IF(J35=0,"",IFERROR(SUMPRODUCT(Normalizacao!$AL$5:$AL$17,Pesos_Indicadores!$I$5:$I$17,((Pesos_Indicadores!$B$5:$B$17=$A$11)*I35+(Pesos_Indicadores!$B$5:$B$17&lt;&gt;$A$11)*Pesos_Indicadores!$G$5:$G$17*(1-I35)/(1-$B$11)),Normalizacao!$AI$5:$AI$17)/J35,""))</f>
        <v>0.746078325852371</v>
      </c>
      <c r="L35" s="60" t="n">
        <f aca="false">IF(J35=0,"",IFERROR(SUMPRODUCT(Normalizacao!$AL$5:$AL$17,Pesos_Indicadores!$I$5:$I$17,((Pesos_Indicadores!$B$5:$B$17=$A$11)*I35+(Pesos_Indicadores!$B$5:$B$17&lt;&gt;$A$11)*Pesos_Indicadores!$G$5:$G$17*(1-I35)/(1-$B$11)),Normalizacao!$AJ$5:$AJ$17)/J35,""))</f>
        <v>0.769903356501247</v>
      </c>
      <c r="M35" s="60" t="n">
        <f aca="false">IF(J35=0,"",IFERROR(SUMPRODUCT(Normalizacao!$AL$5:$AL$17,Pesos_Indicadores!$I$5:$I$17,((Pesos_Indicadores!$B$5:$B$17=$A$11)*I35+(Pesos_Indicadores!$B$5:$B$17&lt;&gt;$A$11)*Pesos_Indicadores!$G$5:$G$17*(1-I35)/(1-$B$11)),Normalizacao!$AK$5:$AK$17)/J35,""))</f>
        <v>0.822646547598593</v>
      </c>
      <c r="N35" s="17" t="str">
        <f aca="false">IF(K35="","",IF(INDEX(K35:M35,$B$5)&gt;=MAX(K35:M35),$B$4,INDEX(Pontuacao!$A$29:$A$31,MATCH(MAX(K35:M35),K35:M35,0))))</f>
        <v>Microsoft Azure</v>
      </c>
      <c r="O35" s="43" t="str">
        <f aca="false">IF(OR(N35="",N35=$B$4,ABS(I35-$B$11)&lt;0.000000001),"",ABS(I35-$B$11))</f>
        <v/>
      </c>
      <c r="Q35" s="60" t="n">
        <f aca="false">(ROW()-17)*$B$6</f>
        <v>0.09</v>
      </c>
      <c r="R35" s="43" t="n">
        <f aca="false">IFERROR(SUMPRODUCT(Normalizacao!$AL$5:$AL$17,Pesos_Indicadores!$I$5:$I$17,((Pesos_Indicadores!$B$5:$B$17=$A$12)*Q35+(Pesos_Indicadores!$B$5:$B$17&lt;&gt;$A$12)*Pesos_Indicadores!$G$5:$G$17*(1-Q35)/(1-$B$12))),0)</f>
        <v>0.895</v>
      </c>
      <c r="S35" s="60" t="n">
        <f aca="false">IF(R35=0,"",IFERROR(SUMPRODUCT(Normalizacao!$AL$5:$AL$17,Pesos_Indicadores!$I$5:$I$17,((Pesos_Indicadores!$B$5:$B$17=$A$12)*Q35+(Pesos_Indicadores!$B$5:$B$17&lt;&gt;$A$12)*Pesos_Indicadores!$G$5:$G$17*(1-Q35)/(1-$B$12)),Normalizacao!$AI$5:$AI$17)/R35,""))</f>
        <v>0.728975972540046</v>
      </c>
      <c r="T35" s="60" t="n">
        <f aca="false">IF(R35=0,"",IFERROR(SUMPRODUCT(Normalizacao!$AL$5:$AL$17,Pesos_Indicadores!$I$5:$I$17,((Pesos_Indicadores!$B$5:$B$17=$A$12)*Q35+(Pesos_Indicadores!$B$5:$B$17&lt;&gt;$A$12)*Pesos_Indicadores!$G$5:$G$17*(1-Q35)/(1-$B$12)),Normalizacao!$AJ$5:$AJ$17)/R35,""))</f>
        <v>0.859312302647559</v>
      </c>
      <c r="U35" s="60" t="n">
        <f aca="false">IF(R35=0,"",IFERROR(SUMPRODUCT(Normalizacao!$AL$5:$AL$17,Pesos_Indicadores!$I$5:$I$17,((Pesos_Indicadores!$B$5:$B$17=$A$12)*Q35+(Pesos_Indicadores!$B$5:$B$17&lt;&gt;$A$12)*Pesos_Indicadores!$G$5:$G$17*(1-Q35)/(1-$B$12)),Normalizacao!$AK$5:$AK$17)/R35,""))</f>
        <v>0.868166931916655</v>
      </c>
      <c r="V35" s="17" t="str">
        <f aca="false">IF(S35="","",IF(INDEX(S35:U35,$B$5)&gt;=MAX(S35:U35),$B$4,INDEX(Pontuacao!$A$29:$A$31,MATCH(MAX(S35:U35),S35:U35,0))))</f>
        <v>Microsoft Azure</v>
      </c>
      <c r="W35" s="43" t="str">
        <f aca="false">IF(OR(V35="",V35=$B$4,ABS(Q35-$B$12)&lt;0.000000001),"",ABS(Q35-$B$12))</f>
        <v/>
      </c>
    </row>
    <row r="36" customFormat="false" ht="15" hidden="false" customHeight="true" outlineLevel="0" collapsed="false">
      <c r="A36" s="60" t="n">
        <f aca="false">(ROW()-17)*$B$6</f>
        <v>0.095</v>
      </c>
      <c r="B36" s="43" t="n">
        <f aca="false">IFERROR(SUMPRODUCT(Normalizacao!$AL$5:$AL$17,Pesos_Indicadores!$I$5:$I$17,((Pesos_Indicadores!$B$5:$B$17=$A$10)*A36+(Pesos_Indicadores!$B$5:$B$17&lt;&gt;$A$10)*Pesos_Indicadores!$G$5:$G$17*(1-A36)/(1-$B$10))),0)</f>
        <v>0.979115384615385</v>
      </c>
      <c r="C36" s="60" t="n">
        <f aca="false">IF(B36=0,"",IFERROR(SUMPRODUCT(Normalizacao!$AL$5:$AL$17,Pesos_Indicadores!$I$5:$I$17,((Pesos_Indicadores!$B$5:$B$17=$A$10)*A36+(Pesos_Indicadores!$B$5:$B$17&lt;&gt;$A$10)*Pesos_Indicadores!$G$5:$G$17*(1-A36)/(1-$B$10)),Normalizacao!$AI$5:$AI$17)/B36,""))</f>
        <v>0.745633941975471</v>
      </c>
      <c r="D36" s="60" t="n">
        <f aca="false">IF(B36=0,"",IFERROR(SUMPRODUCT(Normalizacao!$AL$5:$AL$17,Pesos_Indicadores!$I$5:$I$17,((Pesos_Indicadores!$B$5:$B$17=$A$10)*A36+(Pesos_Indicadores!$B$5:$B$17&lt;&gt;$A$10)*Pesos_Indicadores!$G$5:$G$17*(1-A36)/(1-$B$10)),Normalizacao!$AJ$5:$AJ$17)/B36,""))</f>
        <v>0.770509157812577</v>
      </c>
      <c r="E36" s="60" t="n">
        <f aca="false">IF(B36=0,"",IFERROR(SUMPRODUCT(Normalizacao!$AL$5:$AL$17,Pesos_Indicadores!$I$5:$I$17,((Pesos_Indicadores!$B$5:$B$17=$A$10)*A36+(Pesos_Indicadores!$B$5:$B$17&lt;&gt;$A$10)*Pesos_Indicadores!$G$5:$G$17*(1-A36)/(1-$B$10)),Normalizacao!$AK$5:$AK$17)/B36,""))</f>
        <v>0.82299295550013</v>
      </c>
      <c r="F36" s="17" t="str">
        <f aca="false">IF(C36="","",IF(INDEX(C36:E36,$B$5)&gt;=MAX(C36:E36),$B$4,INDEX(Pontuacao!$A$29:$A$31,MATCH(MAX(C36:E36),C36:E36,0))))</f>
        <v>Microsoft Azure</v>
      </c>
      <c r="G36" s="43" t="str">
        <f aca="false">IF(OR(F36="",F36=$B$4,ABS(A36-$B$10)&lt;0.000000001),"",ABS(A36-$B$10))</f>
        <v/>
      </c>
      <c r="I36" s="60" t="n">
        <f aca="false">(ROW()-17)*$B$6</f>
        <v>0.095</v>
      </c>
      <c r="J36" s="43" t="n">
        <f aca="false">IFERROR(SUMPRODUCT(Normalizacao!$AL$5:$AL$17,Pesos_Indicadores!$I$5:$I$17,((Pesos_Indicadores!$B$5:$B$17=$A$11)*I36+(Pesos_Indicadores!$B$5:$B$17&lt;&gt;$A$11)*Pesos_Indicadores!$G$5:$G$17*(1-I36)/(1-$B$11))),0)</f>
        <v>0.978076923076923</v>
      </c>
      <c r="K36" s="60" t="n">
        <f aca="false">IF(J36=0,"",IFERROR(SUMPRODUCT(Normalizacao!$AL$5:$AL$17,Pesos_Indicadores!$I$5:$I$17,((Pesos_Indicadores!$B$5:$B$17=$A$11)*I36+(Pesos_Indicadores!$B$5:$B$17&lt;&gt;$A$11)*Pesos_Indicadores!$G$5:$G$17*(1-I36)/(1-$B$11)),Normalizacao!$AI$5:$AI$17)/J36,""))</f>
        <v>0.746527400338885</v>
      </c>
      <c r="L36" s="60" t="n">
        <f aca="false">IF(J36=0,"",IFERROR(SUMPRODUCT(Normalizacao!$AL$5:$AL$17,Pesos_Indicadores!$I$5:$I$17,((Pesos_Indicadores!$B$5:$B$17=$A$11)*I36+(Pesos_Indicadores!$B$5:$B$17&lt;&gt;$A$11)*Pesos_Indicadores!$G$5:$G$17*(1-I36)/(1-$B$11)),Normalizacao!$AJ$5:$AJ$17)/J36,""))</f>
        <v>0.770249476397271</v>
      </c>
      <c r="M36" s="60" t="n">
        <f aca="false">IF(J36=0,"",IFERROR(SUMPRODUCT(Normalizacao!$AL$5:$AL$17,Pesos_Indicadores!$I$5:$I$17,((Pesos_Indicadores!$B$5:$B$17=$A$11)*I36+(Pesos_Indicadores!$B$5:$B$17&lt;&gt;$A$11)*Pesos_Indicadores!$G$5:$G$17*(1-I36)/(1-$B$11)),Normalizacao!$AK$5:$AK$17)/J36,""))</f>
        <v>0.822763193666005</v>
      </c>
      <c r="N36" s="17" t="str">
        <f aca="false">IF(K36="","",IF(INDEX(K36:M36,$B$5)&gt;=MAX(K36:M36),$B$4,INDEX(Pontuacao!$A$29:$A$31,MATCH(MAX(K36:M36),K36:M36,0))))</f>
        <v>Microsoft Azure</v>
      </c>
      <c r="O36" s="43" t="str">
        <f aca="false">IF(OR(N36="",N36=$B$4,ABS(I36-$B$11)&lt;0.000000001),"",ABS(I36-$B$11))</f>
        <v/>
      </c>
      <c r="Q36" s="60" t="n">
        <f aca="false">(ROW()-17)*$B$6</f>
        <v>0.095</v>
      </c>
      <c r="R36" s="43" t="n">
        <f aca="false">IFERROR(SUMPRODUCT(Normalizacao!$AL$5:$AL$17,Pesos_Indicadores!$I$5:$I$17,((Pesos_Indicadores!$B$5:$B$17=$A$12)*Q36+(Pesos_Indicadores!$B$5:$B$17&lt;&gt;$A$12)*Pesos_Indicadores!$G$5:$G$17*(1-Q36)/(1-$B$12))),0)</f>
        <v>0.895576923076923</v>
      </c>
      <c r="S36" s="60" t="n">
        <f aca="false">IF(R36=0,"",IFERROR(SUMPRODUCT(Normalizacao!$AL$5:$AL$17,Pesos_Indicadores!$I$5:$I$17,((Pesos_Indicadores!$B$5:$B$17=$A$12)*Q36+(Pesos_Indicadores!$B$5:$B$17&lt;&gt;$A$12)*Pesos_Indicadores!$G$5:$G$17*(1-Q36)/(1-$B$12)),Normalizacao!$AI$5:$AI$17)/R36,""))</f>
        <v>0.729104958260221</v>
      </c>
      <c r="T36" s="60" t="n">
        <f aca="false">IF(R36=0,"",IFERROR(SUMPRODUCT(Normalizacao!$AL$5:$AL$17,Pesos_Indicadores!$I$5:$I$17,((Pesos_Indicadores!$B$5:$B$17=$A$12)*Q36+(Pesos_Indicadores!$B$5:$B$17&lt;&gt;$A$12)*Pesos_Indicadores!$G$5:$G$17*(1-Q36)/(1-$B$12)),Normalizacao!$AJ$5:$AJ$17)/R36,""))</f>
        <v>0.858641654451924</v>
      </c>
      <c r="U36" s="60" t="n">
        <f aca="false">IF(R36=0,"",IFERROR(SUMPRODUCT(Normalizacao!$AL$5:$AL$17,Pesos_Indicadores!$I$5:$I$17,((Pesos_Indicadores!$B$5:$B$17=$A$12)*Q36+(Pesos_Indicadores!$B$5:$B$17&lt;&gt;$A$12)*Pesos_Indicadores!$G$5:$G$17*(1-Q36)/(1-$B$12)),Normalizacao!$AK$5:$AK$17)/R36,""))</f>
        <v>0.867825406520682</v>
      </c>
      <c r="V36" s="17" t="str">
        <f aca="false">IF(S36="","",IF(INDEX(S36:U36,$B$5)&gt;=MAX(S36:U36),$B$4,INDEX(Pontuacao!$A$29:$A$31,MATCH(MAX(S36:U36),S36:U36,0))))</f>
        <v>Microsoft Azure</v>
      </c>
      <c r="W36" s="43" t="str">
        <f aca="false">IF(OR(V36="",V36=$B$4,ABS(Q36-$B$12)&lt;0.000000001),"",ABS(Q36-$B$12))</f>
        <v/>
      </c>
    </row>
    <row r="37" customFormat="false" ht="15" hidden="false" customHeight="true" outlineLevel="0" collapsed="false">
      <c r="A37" s="60" t="n">
        <f aca="false">(ROW()-17)*$B$6</f>
        <v>0.1</v>
      </c>
      <c r="B37" s="43" t="n">
        <f aca="false">IFERROR(SUMPRODUCT(Normalizacao!$AL$5:$AL$17,Pesos_Indicadores!$I$5:$I$17,((Pesos_Indicadores!$B$5:$B$17=$A$10)*A37+(Pesos_Indicadores!$B$5:$B$17&lt;&gt;$A$10)*Pesos_Indicadores!$G$5:$G$17*(1-A37)/(1-$B$10))),0)</f>
        <v>0.979230769230769</v>
      </c>
      <c r="C37" s="60" t="n">
        <f aca="false">IF(B37=0,"",IFERROR(SUMPRODUCT(Normalizacao!$AL$5:$AL$17,Pesos_Indicadores!$I$5:$I$17,((Pesos_Indicadores!$B$5:$B$17=$A$10)*A37+(Pesos_Indicadores!$B$5:$B$17&lt;&gt;$A$10)*Pesos_Indicadores!$G$5:$G$17*(1-A37)/(1-$B$10)),Normalizacao!$AI$5:$AI$17)/B37,""))</f>
        <v>0.744991245746458</v>
      </c>
      <c r="D37" s="60" t="n">
        <f aca="false">IF(B37=0,"",IFERROR(SUMPRODUCT(Normalizacao!$AL$5:$AL$17,Pesos_Indicadores!$I$5:$I$17,((Pesos_Indicadores!$B$5:$B$17=$A$10)*A37+(Pesos_Indicadores!$B$5:$B$17&lt;&gt;$A$10)*Pesos_Indicadores!$G$5:$G$17*(1-A37)/(1-$B$10)),Normalizacao!$AJ$5:$AJ$17)/B37,""))</f>
        <v>0.771172598107859</v>
      </c>
      <c r="E37" s="60" t="n">
        <f aca="false">IF(B37=0,"",IFERROR(SUMPRODUCT(Normalizacao!$AL$5:$AL$17,Pesos_Indicadores!$I$5:$I$17,((Pesos_Indicadores!$B$5:$B$17=$A$10)*A37+(Pesos_Indicadores!$B$5:$B$17&lt;&gt;$A$10)*Pesos_Indicadores!$G$5:$G$17*(1-A37)/(1-$B$10)),Normalizacao!$AK$5:$AK$17)/B37,""))</f>
        <v>0.823390361424202</v>
      </c>
      <c r="F37" s="17" t="str">
        <f aca="false">IF(C37="","",IF(INDEX(C37:E37,$B$5)&gt;=MAX(C37:E37),$B$4,INDEX(Pontuacao!$A$29:$A$31,MATCH(MAX(C37:E37),C37:E37,0))))</f>
        <v>Microsoft Azure</v>
      </c>
      <c r="G37" s="43" t="str">
        <f aca="false">IF(OR(F37="",F37=$B$4,ABS(A37-$B$10)&lt;0.000000001),"",ABS(A37-$B$10))</f>
        <v/>
      </c>
      <c r="I37" s="60" t="n">
        <f aca="false">(ROW()-17)*$B$6</f>
        <v>0.1</v>
      </c>
      <c r="J37" s="43" t="n">
        <f aca="false">IFERROR(SUMPRODUCT(Normalizacao!$AL$5:$AL$17,Pesos_Indicadores!$I$5:$I$17,((Pesos_Indicadores!$B$5:$B$17=$A$11)*I37+(Pesos_Indicadores!$B$5:$B$17&lt;&gt;$A$11)*Pesos_Indicadores!$G$5:$G$17*(1-I37)/(1-$B$11))),0)</f>
        <v>0.976923076923077</v>
      </c>
      <c r="K37" s="60" t="n">
        <f aca="false">IF(J37=0,"",IFERROR(SUMPRODUCT(Normalizacao!$AL$5:$AL$17,Pesos_Indicadores!$I$5:$I$17,((Pesos_Indicadores!$B$5:$B$17=$A$11)*I37+(Pesos_Indicadores!$B$5:$B$17&lt;&gt;$A$11)*Pesos_Indicadores!$G$5:$G$17*(1-I37)/(1-$B$11)),Normalizacao!$AI$5:$AI$17)/J37,""))</f>
        <v>0.746977535631273</v>
      </c>
      <c r="L37" s="60" t="n">
        <f aca="false">IF(J37=0,"",IFERROR(SUMPRODUCT(Normalizacao!$AL$5:$AL$17,Pesos_Indicadores!$I$5:$I$17,((Pesos_Indicadores!$B$5:$B$17=$A$11)*I37+(Pesos_Indicadores!$B$5:$B$17&lt;&gt;$A$11)*Pesos_Indicadores!$G$5:$G$17*(1-I37)/(1-$B$11)),Normalizacao!$AJ$5:$AJ$17)/J37,""))</f>
        <v>0.77059641389935</v>
      </c>
      <c r="M37" s="60" t="n">
        <f aca="false">IF(J37=0,"",IFERROR(SUMPRODUCT(Normalizacao!$AL$5:$AL$17,Pesos_Indicadores!$I$5:$I$17,((Pesos_Indicadores!$B$5:$B$17=$A$11)*I37+(Pesos_Indicadores!$B$5:$B$17&lt;&gt;$A$11)*Pesos_Indicadores!$G$5:$G$17*(1-I37)/(1-$B$11)),Normalizacao!$AK$5:$AK$17)/J37,""))</f>
        <v>0.822880115275307</v>
      </c>
      <c r="N37" s="17" t="str">
        <f aca="false">IF(K37="","",IF(INDEX(K37:M37,$B$5)&gt;=MAX(K37:M37),$B$4,INDEX(Pontuacao!$A$29:$A$31,MATCH(MAX(K37:M37),K37:M37,0))))</f>
        <v>Microsoft Azure</v>
      </c>
      <c r="O37" s="43" t="str">
        <f aca="false">IF(OR(N37="",N37=$B$4,ABS(I37-$B$11)&lt;0.000000001),"",ABS(I37-$B$11))</f>
        <v/>
      </c>
      <c r="Q37" s="60" t="n">
        <f aca="false">(ROW()-17)*$B$6</f>
        <v>0.1</v>
      </c>
      <c r="R37" s="43" t="n">
        <f aca="false">IFERROR(SUMPRODUCT(Normalizacao!$AL$5:$AL$17,Pesos_Indicadores!$I$5:$I$17,((Pesos_Indicadores!$B$5:$B$17=$A$12)*Q37+(Pesos_Indicadores!$B$5:$B$17&lt;&gt;$A$12)*Pesos_Indicadores!$G$5:$G$17*(1-Q37)/(1-$B$12))),0)</f>
        <v>0.896153846153846</v>
      </c>
      <c r="S37" s="60" t="n">
        <f aca="false">IF(R37=0,"",IFERROR(SUMPRODUCT(Normalizacao!$AL$5:$AL$17,Pesos_Indicadores!$I$5:$I$17,((Pesos_Indicadores!$B$5:$B$17=$A$12)*Q37+(Pesos_Indicadores!$B$5:$B$17&lt;&gt;$A$12)*Pesos_Indicadores!$G$5:$G$17*(1-Q37)/(1-$B$12)),Normalizacao!$AI$5:$AI$17)/R37,""))</f>
        <v>0.729233777904362</v>
      </c>
      <c r="T37" s="60" t="n">
        <f aca="false">IF(R37=0,"",IFERROR(SUMPRODUCT(Normalizacao!$AL$5:$AL$17,Pesos_Indicadores!$I$5:$I$17,((Pesos_Indicadores!$B$5:$B$17=$A$12)*Q37+(Pesos_Indicadores!$B$5:$B$17&lt;&gt;$A$12)*Pesos_Indicadores!$G$5:$G$17*(1-Q37)/(1-$B$12)),Normalizacao!$AJ$5:$AJ$17)/R37,""))</f>
        <v>0.85797186975182</v>
      </c>
      <c r="U37" s="60" t="n">
        <f aca="false">IF(R37=0,"",IFERROR(SUMPRODUCT(Normalizacao!$AL$5:$AL$17,Pesos_Indicadores!$I$5:$I$17,((Pesos_Indicadores!$B$5:$B$17=$A$12)*Q37+(Pesos_Indicadores!$B$5:$B$17&lt;&gt;$A$12)*Pesos_Indicadores!$G$5:$G$17*(1-Q37)/(1-$B$12)),Normalizacao!$AK$5:$AK$17)/R37,""))</f>
        <v>0.867484320856979</v>
      </c>
      <c r="V37" s="17" t="str">
        <f aca="false">IF(S37="","",IF(INDEX(S37:U37,$B$5)&gt;=MAX(S37:U37),$B$4,INDEX(Pontuacao!$A$29:$A$31,MATCH(MAX(S37:U37),S37:U37,0))))</f>
        <v>Microsoft Azure</v>
      </c>
      <c r="W37" s="43" t="str">
        <f aca="false">IF(OR(V37="",V37=$B$4,ABS(Q37-$B$12)&lt;0.000000001),"",ABS(Q37-$B$12))</f>
        <v/>
      </c>
    </row>
    <row r="38" customFormat="false" ht="15" hidden="false" customHeight="true" outlineLevel="0" collapsed="false">
      <c r="A38" s="60" t="n">
        <f aca="false">(ROW()-17)*$B$6</f>
        <v>0.105</v>
      </c>
      <c r="B38" s="43" t="n">
        <f aca="false">IFERROR(SUMPRODUCT(Normalizacao!$AL$5:$AL$17,Pesos_Indicadores!$I$5:$I$17,((Pesos_Indicadores!$B$5:$B$17=$A$10)*A38+(Pesos_Indicadores!$B$5:$B$17&lt;&gt;$A$10)*Pesos_Indicadores!$G$5:$G$17*(1-A38)/(1-$B$10))),0)</f>
        <v>0.979346153846154</v>
      </c>
      <c r="C38" s="60" t="n">
        <f aca="false">IF(B38=0,"",IFERROR(SUMPRODUCT(Normalizacao!$AL$5:$AL$17,Pesos_Indicadores!$I$5:$I$17,((Pesos_Indicadores!$B$5:$B$17=$A$10)*A38+(Pesos_Indicadores!$B$5:$B$17&lt;&gt;$A$10)*Pesos_Indicadores!$G$5:$G$17*(1-A38)/(1-$B$10)),Normalizacao!$AI$5:$AI$17)/B38,""))</f>
        <v>0.744348700959826</v>
      </c>
      <c r="D38" s="60" t="n">
        <f aca="false">IF(B38=0,"",IFERROR(SUMPRODUCT(Normalizacao!$AL$5:$AL$17,Pesos_Indicadores!$I$5:$I$17,((Pesos_Indicadores!$B$5:$B$17=$A$10)*A38+(Pesos_Indicadores!$B$5:$B$17&lt;&gt;$A$10)*Pesos_Indicadores!$G$5:$G$17*(1-A38)/(1-$B$10)),Normalizacao!$AJ$5:$AJ$17)/B38,""))</f>
        <v>0.771835882072709</v>
      </c>
      <c r="E38" s="60" t="n">
        <f aca="false">IF(B38=0,"",IFERROR(SUMPRODUCT(Normalizacao!$AL$5:$AL$17,Pesos_Indicadores!$I$5:$I$17,((Pesos_Indicadores!$B$5:$B$17=$A$10)*A38+(Pesos_Indicadores!$B$5:$B$17&lt;&gt;$A$10)*Pesos_Indicadores!$G$5:$G$17*(1-A38)/(1-$B$10)),Normalizacao!$AK$5:$AK$17)/B38,""))</f>
        <v>0.823787673705123</v>
      </c>
      <c r="F38" s="17" t="str">
        <f aca="false">IF(C38="","",IF(INDEX(C38:E38,$B$5)&gt;=MAX(C38:E38),$B$4,INDEX(Pontuacao!$A$29:$A$31,MATCH(MAX(C38:E38),C38:E38,0))))</f>
        <v>Microsoft Azure</v>
      </c>
      <c r="G38" s="43" t="str">
        <f aca="false">IF(OR(F38="",F38=$B$4,ABS(A38-$B$10)&lt;0.000000001),"",ABS(A38-$B$10))</f>
        <v/>
      </c>
      <c r="I38" s="60" t="n">
        <f aca="false">(ROW()-17)*$B$6</f>
        <v>0.105</v>
      </c>
      <c r="J38" s="43" t="n">
        <f aca="false">IFERROR(SUMPRODUCT(Normalizacao!$AL$5:$AL$17,Pesos_Indicadores!$I$5:$I$17,((Pesos_Indicadores!$B$5:$B$17=$A$11)*I38+(Pesos_Indicadores!$B$5:$B$17&lt;&gt;$A$11)*Pesos_Indicadores!$G$5:$G$17*(1-I38)/(1-$B$11))),0)</f>
        <v>0.975769230769231</v>
      </c>
      <c r="K38" s="60" t="n">
        <f aca="false">IF(J38=0,"",IFERROR(SUMPRODUCT(Normalizacao!$AL$5:$AL$17,Pesos_Indicadores!$I$5:$I$17,((Pesos_Indicadores!$B$5:$B$17=$A$11)*I38+(Pesos_Indicadores!$B$5:$B$17&lt;&gt;$A$11)*Pesos_Indicadores!$G$5:$G$17*(1-I38)/(1-$B$11)),Normalizacao!$AI$5:$AI$17)/J38,""))</f>
        <v>0.74742873549274</v>
      </c>
      <c r="L38" s="60" t="n">
        <f aca="false">IF(J38=0,"",IFERROR(SUMPRODUCT(Normalizacao!$AL$5:$AL$17,Pesos_Indicadores!$I$5:$I$17,((Pesos_Indicadores!$B$5:$B$17=$A$11)*I38+(Pesos_Indicadores!$B$5:$B$17&lt;&gt;$A$11)*Pesos_Indicadores!$G$5:$G$17*(1-I38)/(1-$B$11)),Normalizacao!$AJ$5:$AJ$17)/J38,""))</f>
        <v>0.770944171907936</v>
      </c>
      <c r="M38" s="60" t="n">
        <f aca="false">IF(J38=0,"",IFERROR(SUMPRODUCT(Normalizacao!$AL$5:$AL$17,Pesos_Indicadores!$I$5:$I$17,((Pesos_Indicadores!$B$5:$B$17=$A$11)*I38+(Pesos_Indicadores!$B$5:$B$17&lt;&gt;$A$11)*Pesos_Indicadores!$G$5:$G$17*(1-I38)/(1-$B$11)),Normalizacao!$AK$5:$AK$17)/J38,""))</f>
        <v>0.822997313403985</v>
      </c>
      <c r="N38" s="17" t="str">
        <f aca="false">IF(K38="","",IF(INDEX(K38:M38,$B$5)&gt;=MAX(K38:M38),$B$4,INDEX(Pontuacao!$A$29:$A$31,MATCH(MAX(K38:M38),K38:M38,0))))</f>
        <v>Microsoft Azure</v>
      </c>
      <c r="O38" s="43" t="str">
        <f aca="false">IF(OR(N38="",N38=$B$4,ABS(I38-$B$11)&lt;0.000000001),"",ABS(I38-$B$11))</f>
        <v/>
      </c>
      <c r="Q38" s="60" t="n">
        <f aca="false">(ROW()-17)*$B$6</f>
        <v>0.105</v>
      </c>
      <c r="R38" s="43" t="n">
        <f aca="false">IFERROR(SUMPRODUCT(Normalizacao!$AL$5:$AL$17,Pesos_Indicadores!$I$5:$I$17,((Pesos_Indicadores!$B$5:$B$17=$A$12)*Q38+(Pesos_Indicadores!$B$5:$B$17&lt;&gt;$A$12)*Pesos_Indicadores!$G$5:$G$17*(1-Q38)/(1-$B$12))),0)</f>
        <v>0.896730769230769</v>
      </c>
      <c r="S38" s="60" t="n">
        <f aca="false">IF(R38=0,"",IFERROR(SUMPRODUCT(Normalizacao!$AL$5:$AL$17,Pesos_Indicadores!$I$5:$I$17,((Pesos_Indicadores!$B$5:$B$17=$A$12)*Q38+(Pesos_Indicadores!$B$5:$B$17&lt;&gt;$A$12)*Pesos_Indicadores!$G$5:$G$17*(1-Q38)/(1-$B$12)),Normalizacao!$AI$5:$AI$17)/R38,""))</f>
        <v>0.729362431793009</v>
      </c>
      <c r="T38" s="60" t="n">
        <f aca="false">IF(R38=0,"",IFERROR(SUMPRODUCT(Normalizacao!$AL$5:$AL$17,Pesos_Indicadores!$I$5:$I$17,((Pesos_Indicadores!$B$5:$B$17=$A$12)*Q38+(Pesos_Indicadores!$B$5:$B$17&lt;&gt;$A$12)*Pesos_Indicadores!$G$5:$G$17*(1-Q38)/(1-$B$12)),Normalizacao!$AJ$5:$AJ$17)/R38,""))</f>
        <v>0.857302946880624</v>
      </c>
      <c r="U38" s="60" t="n">
        <f aca="false">IF(R38=0,"",IFERROR(SUMPRODUCT(Normalizacao!$AL$5:$AL$17,Pesos_Indicadores!$I$5:$I$17,((Pesos_Indicadores!$B$5:$B$17=$A$12)*Q38+(Pesos_Indicadores!$B$5:$B$17&lt;&gt;$A$12)*Pesos_Indicadores!$G$5:$G$17*(1-Q38)/(1-$B$12)),Normalizacao!$AK$5:$AK$17)/R38,""))</f>
        <v>0.867143674076822</v>
      </c>
      <c r="V38" s="17" t="str">
        <f aca="false">IF(S38="","",IF(INDEX(S38:U38,$B$5)&gt;=MAX(S38:U38),$B$4,INDEX(Pontuacao!$A$29:$A$31,MATCH(MAX(S38:U38),S38:U38,0))))</f>
        <v>Microsoft Azure</v>
      </c>
      <c r="W38" s="43" t="str">
        <f aca="false">IF(OR(V38="",V38=$B$4,ABS(Q38-$B$12)&lt;0.000000001),"",ABS(Q38-$B$12))</f>
        <v/>
      </c>
    </row>
    <row r="39" customFormat="false" ht="15" hidden="false" customHeight="true" outlineLevel="0" collapsed="false">
      <c r="A39" s="60" t="n">
        <f aca="false">(ROW()-17)*$B$6</f>
        <v>0.11</v>
      </c>
      <c r="B39" s="43" t="n">
        <f aca="false">IFERROR(SUMPRODUCT(Normalizacao!$AL$5:$AL$17,Pesos_Indicadores!$I$5:$I$17,((Pesos_Indicadores!$B$5:$B$17=$A$10)*A39+(Pesos_Indicadores!$B$5:$B$17&lt;&gt;$A$10)*Pesos_Indicadores!$G$5:$G$17*(1-A39)/(1-$B$10))),0)</f>
        <v>0.979461538461539</v>
      </c>
      <c r="C39" s="60" t="n">
        <f aca="false">IF(B39=0,"",IFERROR(SUMPRODUCT(Normalizacao!$AL$5:$AL$17,Pesos_Indicadores!$I$5:$I$17,((Pesos_Indicadores!$B$5:$B$17=$A$10)*A39+(Pesos_Indicadores!$B$5:$B$17&lt;&gt;$A$10)*Pesos_Indicadores!$G$5:$G$17*(1-A39)/(1-$B$10)),Normalizacao!$AI$5:$AI$17)/B39,""))</f>
        <v>0.743706307562055</v>
      </c>
      <c r="D39" s="60" t="n">
        <f aca="false">IF(B39=0,"",IFERROR(SUMPRODUCT(Normalizacao!$AL$5:$AL$17,Pesos_Indicadores!$I$5:$I$17,((Pesos_Indicadores!$B$5:$B$17=$A$10)*A39+(Pesos_Indicadores!$B$5:$B$17&lt;&gt;$A$10)*Pesos_Indicadores!$G$5:$G$17*(1-A39)/(1-$B$10)),Normalizacao!$AJ$5:$AJ$17)/B39,""))</f>
        <v>0.772499009762377</v>
      </c>
      <c r="E39" s="60" t="n">
        <f aca="false">IF(B39=0,"",IFERROR(SUMPRODUCT(Normalizacao!$AL$5:$AL$17,Pesos_Indicadores!$I$5:$I$17,((Pesos_Indicadores!$B$5:$B$17=$A$10)*A39+(Pesos_Indicadores!$B$5:$B$17&lt;&gt;$A$10)*Pesos_Indicadores!$G$5:$G$17*(1-A39)/(1-$B$10)),Normalizacao!$AK$5:$AK$17)/B39,""))</f>
        <v>0.824184892375989</v>
      </c>
      <c r="F39" s="17" t="str">
        <f aca="false">IF(C39="","",IF(INDEX(C39:E39,$B$5)&gt;=MAX(C39:E39),$B$4,INDEX(Pontuacao!$A$29:$A$31,MATCH(MAX(C39:E39),C39:E39,0))))</f>
        <v>Microsoft Azure</v>
      </c>
      <c r="G39" s="43" t="str">
        <f aca="false">IF(OR(F39="",F39=$B$4,ABS(A39-$B$10)&lt;0.000000001),"",ABS(A39-$B$10))</f>
        <v/>
      </c>
      <c r="I39" s="60" t="n">
        <f aca="false">(ROW()-17)*$B$6</f>
        <v>0.11</v>
      </c>
      <c r="J39" s="43" t="n">
        <f aca="false">IFERROR(SUMPRODUCT(Normalizacao!$AL$5:$AL$17,Pesos_Indicadores!$I$5:$I$17,((Pesos_Indicadores!$B$5:$B$17=$A$11)*I39+(Pesos_Indicadores!$B$5:$B$17&lt;&gt;$A$11)*Pesos_Indicadores!$G$5:$G$17*(1-I39)/(1-$B$11))),0)</f>
        <v>0.974615384615385</v>
      </c>
      <c r="K39" s="60" t="n">
        <f aca="false">IF(J39=0,"",IFERROR(SUMPRODUCT(Normalizacao!$AL$5:$AL$17,Pesos_Indicadores!$I$5:$I$17,((Pesos_Indicadores!$B$5:$B$17=$A$11)*I39+(Pesos_Indicadores!$B$5:$B$17&lt;&gt;$A$11)*Pesos_Indicadores!$G$5:$G$17*(1-I39)/(1-$B$11)),Normalizacao!$AI$5:$AI$17)/J39,""))</f>
        <v>0.747881003704312</v>
      </c>
      <c r="L39" s="60" t="n">
        <f aca="false">IF(J39=0,"",IFERROR(SUMPRODUCT(Normalizacao!$AL$5:$AL$17,Pesos_Indicadores!$I$5:$I$17,((Pesos_Indicadores!$B$5:$B$17=$A$11)*I39+(Pesos_Indicadores!$B$5:$B$17&lt;&gt;$A$11)*Pesos_Indicadores!$G$5:$G$17*(1-I39)/(1-$B$11)),Normalizacao!$AJ$5:$AJ$17)/J39,""))</f>
        <v>0.771292753337223</v>
      </c>
      <c r="M39" s="60" t="n">
        <f aca="false">IF(J39=0,"",IFERROR(SUMPRODUCT(Normalizacao!$AL$5:$AL$17,Pesos_Indicadores!$I$5:$I$17,((Pesos_Indicadores!$B$5:$B$17=$A$11)*I39+(Pesos_Indicadores!$B$5:$B$17&lt;&gt;$A$11)*Pesos_Indicadores!$G$5:$G$17*(1-I39)/(1-$B$11)),Normalizacao!$AK$5:$AK$17)/J39,""))</f>
        <v>0.823114789034152</v>
      </c>
      <c r="N39" s="17" t="str">
        <f aca="false">IF(K39="","",IF(INDEX(K39:M39,$B$5)&gt;=MAX(K39:M39),$B$4,INDEX(Pontuacao!$A$29:$A$31,MATCH(MAX(K39:M39),K39:M39,0))))</f>
        <v>Microsoft Azure</v>
      </c>
      <c r="O39" s="43" t="str">
        <f aca="false">IF(OR(N39="",N39=$B$4,ABS(I39-$B$11)&lt;0.000000001),"",ABS(I39-$B$11))</f>
        <v/>
      </c>
      <c r="Q39" s="60" t="n">
        <f aca="false">(ROW()-17)*$B$6</f>
        <v>0.11</v>
      </c>
      <c r="R39" s="43" t="n">
        <f aca="false">IFERROR(SUMPRODUCT(Normalizacao!$AL$5:$AL$17,Pesos_Indicadores!$I$5:$I$17,((Pesos_Indicadores!$B$5:$B$17=$A$12)*Q39+(Pesos_Indicadores!$B$5:$B$17&lt;&gt;$A$12)*Pesos_Indicadores!$G$5:$G$17*(1-Q39)/(1-$B$12))),0)</f>
        <v>0.897307692307693</v>
      </c>
      <c r="S39" s="60" t="n">
        <f aca="false">IF(R39=0,"",IFERROR(SUMPRODUCT(Normalizacao!$AL$5:$AL$17,Pesos_Indicadores!$I$5:$I$17,((Pesos_Indicadores!$B$5:$B$17=$A$12)*Q39+(Pesos_Indicadores!$B$5:$B$17&lt;&gt;$A$12)*Pesos_Indicadores!$G$5:$G$17*(1-Q39)/(1-$B$12)),Normalizacao!$AI$5:$AI$17)/R39,""))</f>
        <v>0.72949092024588</v>
      </c>
      <c r="T39" s="60" t="n">
        <f aca="false">IF(R39=0,"",IFERROR(SUMPRODUCT(Normalizacao!$AL$5:$AL$17,Pesos_Indicadores!$I$5:$I$17,((Pesos_Indicadores!$B$5:$B$17=$A$12)*Q39+(Pesos_Indicadores!$B$5:$B$17&lt;&gt;$A$12)*Pesos_Indicadores!$G$5:$G$17*(1-Q39)/(1-$B$12)),Normalizacao!$AJ$5:$AJ$17)/R39,""))</f>
        <v>0.856634884176</v>
      </c>
      <c r="U39" s="60" t="n">
        <f aca="false">IF(R39=0,"",IFERROR(SUMPRODUCT(Normalizacao!$AL$5:$AL$17,Pesos_Indicadores!$I$5:$I$17,((Pesos_Indicadores!$B$5:$B$17=$A$12)*Q39+(Pesos_Indicadores!$B$5:$B$17&lt;&gt;$A$12)*Pesos_Indicadores!$G$5:$G$17*(1-Q39)/(1-$B$12)),Normalizacao!$AK$5:$AK$17)/R39,""))</f>
        <v>0.866803465333675</v>
      </c>
      <c r="V39" s="17" t="str">
        <f aca="false">IF(S39="","",IF(INDEX(S39:U39,$B$5)&gt;=MAX(S39:U39),$B$4,INDEX(Pontuacao!$A$29:$A$31,MATCH(MAX(S39:U39),S39:U39,0))))</f>
        <v>Microsoft Azure</v>
      </c>
      <c r="W39" s="43" t="str">
        <f aca="false">IF(OR(V39="",V39=$B$4,ABS(Q39-$B$12)&lt;0.000000001),"",ABS(Q39-$B$12))</f>
        <v/>
      </c>
    </row>
    <row r="40" customFormat="false" ht="15" hidden="false" customHeight="true" outlineLevel="0" collapsed="false">
      <c r="A40" s="60" t="n">
        <f aca="false">(ROW()-17)*$B$6</f>
        <v>0.115</v>
      </c>
      <c r="B40" s="43" t="n">
        <f aca="false">IFERROR(SUMPRODUCT(Normalizacao!$AL$5:$AL$17,Pesos_Indicadores!$I$5:$I$17,((Pesos_Indicadores!$B$5:$B$17=$A$10)*A40+(Pesos_Indicadores!$B$5:$B$17&lt;&gt;$A$10)*Pesos_Indicadores!$G$5:$G$17*(1-A40)/(1-$B$10))),0)</f>
        <v>0.979576923076923</v>
      </c>
      <c r="C40" s="60" t="n">
        <f aca="false">IF(B40=0,"",IFERROR(SUMPRODUCT(Normalizacao!$AL$5:$AL$17,Pesos_Indicadores!$I$5:$I$17,((Pesos_Indicadores!$B$5:$B$17=$A$10)*A40+(Pesos_Indicadores!$B$5:$B$17&lt;&gt;$A$10)*Pesos_Indicadores!$G$5:$G$17*(1-A40)/(1-$B$10)),Normalizacao!$AI$5:$AI$17)/B40,""))</f>
        <v>0.743064065499648</v>
      </c>
      <c r="D40" s="60" t="n">
        <f aca="false">IF(B40=0,"",IFERROR(SUMPRODUCT(Normalizacao!$AL$5:$AL$17,Pesos_Indicadores!$I$5:$I$17,((Pesos_Indicadores!$B$5:$B$17=$A$10)*A40+(Pesos_Indicadores!$B$5:$B$17&lt;&gt;$A$10)*Pesos_Indicadores!$G$5:$G$17*(1-A40)/(1-$B$10)),Normalizacao!$AJ$5:$AJ$17)/B40,""))</f>
        <v>0.773161981232086</v>
      </c>
      <c r="E40" s="60" t="n">
        <f aca="false">IF(B40=0,"",IFERROR(SUMPRODUCT(Normalizacao!$AL$5:$AL$17,Pesos_Indicadores!$I$5:$I$17,((Pesos_Indicadores!$B$5:$B$17=$A$10)*A40+(Pesos_Indicadores!$B$5:$B$17&lt;&gt;$A$10)*Pesos_Indicadores!$G$5:$G$17*(1-A40)/(1-$B$10)),Normalizacao!$AK$5:$AK$17)/B40,""))</f>
        <v>0.824582017469877</v>
      </c>
      <c r="F40" s="17" t="str">
        <f aca="false">IF(C40="","",IF(INDEX(C40:E40,$B$5)&gt;=MAX(C40:E40),$B$4,INDEX(Pontuacao!$A$29:$A$31,MATCH(MAX(C40:E40),C40:E40,0))))</f>
        <v>Microsoft Azure</v>
      </c>
      <c r="G40" s="43" t="str">
        <f aca="false">IF(OR(F40="",F40=$B$4,ABS(A40-$B$10)&lt;0.000000001),"",ABS(A40-$B$10))</f>
        <v/>
      </c>
      <c r="I40" s="60" t="n">
        <f aca="false">(ROW()-17)*$B$6</f>
        <v>0.115</v>
      </c>
      <c r="J40" s="43" t="n">
        <f aca="false">IFERROR(SUMPRODUCT(Normalizacao!$AL$5:$AL$17,Pesos_Indicadores!$I$5:$I$17,((Pesos_Indicadores!$B$5:$B$17=$A$11)*I40+(Pesos_Indicadores!$B$5:$B$17&lt;&gt;$A$11)*Pesos_Indicadores!$G$5:$G$17*(1-I40)/(1-$B$11))),0)</f>
        <v>0.973461538461539</v>
      </c>
      <c r="K40" s="60" t="n">
        <f aca="false">IF(J40=0,"",IFERROR(SUMPRODUCT(Normalizacao!$AL$5:$AL$17,Pesos_Indicadores!$I$5:$I$17,((Pesos_Indicadores!$B$5:$B$17=$A$11)*I40+(Pesos_Indicadores!$B$5:$B$17&lt;&gt;$A$11)*Pesos_Indicadores!$G$5:$G$17*(1-I40)/(1-$B$11)),Normalizacao!$AI$5:$AI$17)/J40,""))</f>
        <v>0.748334344064945</v>
      </c>
      <c r="L40" s="60" t="n">
        <f aca="false">IF(J40=0,"",IFERROR(SUMPRODUCT(Normalizacao!$AL$5:$AL$17,Pesos_Indicadores!$I$5:$I$17,((Pesos_Indicadores!$B$5:$B$17=$A$11)*I40+(Pesos_Indicadores!$B$5:$B$17&lt;&gt;$A$11)*Pesos_Indicadores!$G$5:$G$17*(1-I40)/(1-$B$11)),Normalizacao!$AJ$5:$AJ$17)/J40,""))</f>
        <v>0.771642161115215</v>
      </c>
      <c r="M40" s="60" t="n">
        <f aca="false">IF(J40=0,"",IFERROR(SUMPRODUCT(Normalizacao!$AL$5:$AL$17,Pesos_Indicadores!$I$5:$I$17,((Pesos_Indicadores!$B$5:$B$17=$A$11)*I40+(Pesos_Indicadores!$B$5:$B$17&lt;&gt;$A$11)*Pesos_Indicadores!$G$5:$G$17*(1-I40)/(1-$B$11)),Normalizacao!$AK$5:$AK$17)/J40,""))</f>
        <v>0.823232543152577</v>
      </c>
      <c r="N40" s="17" t="str">
        <f aca="false">IF(K40="","",IF(INDEX(K40:M40,$B$5)&gt;=MAX(K40:M40),$B$4,INDEX(Pontuacao!$A$29:$A$31,MATCH(MAX(K40:M40),K40:M40,0))))</f>
        <v>Microsoft Azure</v>
      </c>
      <c r="O40" s="43" t="str">
        <f aca="false">IF(OR(N40="",N40=$B$4,ABS(I40-$B$11)&lt;0.000000001),"",ABS(I40-$B$11))</f>
        <v/>
      </c>
      <c r="Q40" s="60" t="n">
        <f aca="false">(ROW()-17)*$B$6</f>
        <v>0.115</v>
      </c>
      <c r="R40" s="43" t="n">
        <f aca="false">IFERROR(SUMPRODUCT(Normalizacao!$AL$5:$AL$17,Pesos_Indicadores!$I$5:$I$17,((Pesos_Indicadores!$B$5:$B$17=$A$12)*Q40+(Pesos_Indicadores!$B$5:$B$17&lt;&gt;$A$12)*Pesos_Indicadores!$G$5:$G$17*(1-Q40)/(1-$B$12))),0)</f>
        <v>0.897884615384616</v>
      </c>
      <c r="S40" s="60" t="n">
        <f aca="false">IF(R40=0,"",IFERROR(SUMPRODUCT(Normalizacao!$AL$5:$AL$17,Pesos_Indicadores!$I$5:$I$17,((Pesos_Indicadores!$B$5:$B$17=$A$12)*Q40+(Pesos_Indicadores!$B$5:$B$17&lt;&gt;$A$12)*Pesos_Indicadores!$G$5:$G$17*(1-Q40)/(1-$B$12)),Normalizacao!$AI$5:$AI$17)/R40,""))</f>
        <v>0.729619243581871</v>
      </c>
      <c r="T40" s="60" t="n">
        <f aca="false">IF(R40=0,"",IFERROR(SUMPRODUCT(Normalizacao!$AL$5:$AL$17,Pesos_Indicadores!$I$5:$I$17,((Pesos_Indicadores!$B$5:$B$17=$A$12)*Q40+(Pesos_Indicadores!$B$5:$B$17&lt;&gt;$A$12)*Pesos_Indicadores!$G$5:$G$17*(1-Q40)/(1-$B$12)),Normalizacao!$AJ$5:$AJ$17)/R40,""))</f>
        <v>0.855967679979886</v>
      </c>
      <c r="U40" s="60" t="n">
        <f aca="false">IF(R40=0,"",IFERROR(SUMPRODUCT(Normalizacao!$AL$5:$AL$17,Pesos_Indicadores!$I$5:$I$17,((Pesos_Indicadores!$B$5:$B$17=$A$12)*Q40+(Pesos_Indicadores!$B$5:$B$17&lt;&gt;$A$12)*Pesos_Indicadores!$G$5:$G$17*(1-Q40)/(1-$B$12)),Normalizacao!$AK$5:$AK$17)/R40,""))</f>
        <v>0.866463693783172</v>
      </c>
      <c r="V40" s="17" t="str">
        <f aca="false">IF(S40="","",IF(INDEX(S40:U40,$B$5)&gt;=MAX(S40:U40),$B$4,INDEX(Pontuacao!$A$29:$A$31,MATCH(MAX(S40:U40),S40:U40,0))))</f>
        <v>Microsoft Azure</v>
      </c>
      <c r="W40" s="43" t="str">
        <f aca="false">IF(OR(V40="",V40=$B$4,ABS(Q40-$B$12)&lt;0.000000001),"",ABS(Q40-$B$12))</f>
        <v/>
      </c>
    </row>
    <row r="41" customFormat="false" ht="15" hidden="false" customHeight="true" outlineLevel="0" collapsed="false">
      <c r="A41" s="60" t="n">
        <f aca="false">(ROW()-17)*$B$6</f>
        <v>0.12</v>
      </c>
      <c r="B41" s="43" t="n">
        <f aca="false">IFERROR(SUMPRODUCT(Normalizacao!$AL$5:$AL$17,Pesos_Indicadores!$I$5:$I$17,((Pesos_Indicadores!$B$5:$B$17=$A$10)*A41+(Pesos_Indicadores!$B$5:$B$17&lt;&gt;$A$10)*Pesos_Indicadores!$G$5:$G$17*(1-A41)/(1-$B$10))),0)</f>
        <v>0.979692307692308</v>
      </c>
      <c r="C41" s="60" t="n">
        <f aca="false">IF(B41=0,"",IFERROR(SUMPRODUCT(Normalizacao!$AL$5:$AL$17,Pesos_Indicadores!$I$5:$I$17,((Pesos_Indicadores!$B$5:$B$17=$A$10)*A41+(Pesos_Indicadores!$B$5:$B$17&lt;&gt;$A$10)*Pesos_Indicadores!$G$5:$G$17*(1-A41)/(1-$B$10)),Normalizacao!$AI$5:$AI$17)/B41,""))</f>
        <v>0.742421974719133</v>
      </c>
      <c r="D41" s="60" t="n">
        <f aca="false">IF(B41=0,"",IFERROR(SUMPRODUCT(Normalizacao!$AL$5:$AL$17,Pesos_Indicadores!$I$5:$I$17,((Pesos_Indicadores!$B$5:$B$17=$A$10)*A41+(Pesos_Indicadores!$B$5:$B$17&lt;&gt;$A$10)*Pesos_Indicadores!$G$5:$G$17*(1-A41)/(1-$B$10)),Normalizacao!$AJ$5:$AJ$17)/B41,""))</f>
        <v>0.773824796537033</v>
      </c>
      <c r="E41" s="60" t="n">
        <f aca="false">IF(B41=0,"",IFERROR(SUMPRODUCT(Normalizacao!$AL$5:$AL$17,Pesos_Indicadores!$I$5:$I$17,((Pesos_Indicadores!$B$5:$B$17=$A$10)*A41+(Pesos_Indicadores!$B$5:$B$17&lt;&gt;$A$10)*Pesos_Indicadores!$G$5:$G$17*(1-A41)/(1-$B$10)),Normalizacao!$AK$5:$AK$17)/B41,""))</f>
        <v>0.824979049019852</v>
      </c>
      <c r="F41" s="17" t="str">
        <f aca="false">IF(C41="","",IF(INDEX(C41:E41,$B$5)&gt;=MAX(C41:E41),$B$4,INDEX(Pontuacao!$A$29:$A$31,MATCH(MAX(C41:E41),C41:E41,0))))</f>
        <v>Microsoft Azure</v>
      </c>
      <c r="G41" s="43" t="str">
        <f aca="false">IF(OR(F41="",F41=$B$4,ABS(A41-$B$10)&lt;0.000000001),"",ABS(A41-$B$10))</f>
        <v/>
      </c>
      <c r="I41" s="60" t="n">
        <f aca="false">(ROW()-17)*$B$6</f>
        <v>0.12</v>
      </c>
      <c r="J41" s="43" t="n">
        <f aca="false">IFERROR(SUMPRODUCT(Normalizacao!$AL$5:$AL$17,Pesos_Indicadores!$I$5:$I$17,((Pesos_Indicadores!$B$5:$B$17=$A$11)*I41+(Pesos_Indicadores!$B$5:$B$17&lt;&gt;$A$11)*Pesos_Indicadores!$G$5:$G$17*(1-I41)/(1-$B$11))),0)</f>
        <v>0.972307692307692</v>
      </c>
      <c r="K41" s="60" t="n">
        <f aca="false">IF(J41=0,"",IFERROR(SUMPRODUCT(Normalizacao!$AL$5:$AL$17,Pesos_Indicadores!$I$5:$I$17,((Pesos_Indicadores!$B$5:$B$17=$A$11)*I41+(Pesos_Indicadores!$B$5:$B$17&lt;&gt;$A$11)*Pesos_Indicadores!$G$5:$G$17*(1-I41)/(1-$B$11)),Normalizacao!$AI$5:$AI$17)/J41,""))</f>
        <v>0.748788760391623</v>
      </c>
      <c r="L41" s="60" t="n">
        <f aca="false">IF(J41=0,"",IFERROR(SUMPRODUCT(Normalizacao!$AL$5:$AL$17,Pesos_Indicadores!$I$5:$I$17,((Pesos_Indicadores!$B$5:$B$17=$A$11)*I41+(Pesos_Indicadores!$B$5:$B$17&lt;&gt;$A$11)*Pesos_Indicadores!$G$5:$G$17*(1-I41)/(1-$B$11)),Normalizacao!$AJ$5:$AJ$17)/J41,""))</f>
        <v>0.77199239818382</v>
      </c>
      <c r="M41" s="60" t="n">
        <f aca="false">IF(J41=0,"",IFERROR(SUMPRODUCT(Normalizacao!$AL$5:$AL$17,Pesos_Indicadores!$I$5:$I$17,((Pesos_Indicadores!$B$5:$B$17=$A$11)*I41+(Pesos_Indicadores!$B$5:$B$17&lt;&gt;$A$11)*Pesos_Indicadores!$G$5:$G$17*(1-I41)/(1-$B$11)),Normalizacao!$AK$5:$AK$17)/J41,""))</f>
        <v>0.823350576750713</v>
      </c>
      <c r="N41" s="17" t="str">
        <f aca="false">IF(K41="","",IF(INDEX(K41:M41,$B$5)&gt;=MAX(K41:M41),$B$4,INDEX(Pontuacao!$A$29:$A$31,MATCH(MAX(K41:M41),K41:M41,0))))</f>
        <v>Microsoft Azure</v>
      </c>
      <c r="O41" s="43" t="str">
        <f aca="false">IF(OR(N41="",N41=$B$4,ABS(I41-$B$11)&lt;0.000000001),"",ABS(I41-$B$11))</f>
        <v/>
      </c>
      <c r="Q41" s="60" t="n">
        <f aca="false">(ROW()-17)*$B$6</f>
        <v>0.12</v>
      </c>
      <c r="R41" s="43" t="n">
        <f aca="false">IFERROR(SUMPRODUCT(Normalizacao!$AL$5:$AL$17,Pesos_Indicadores!$I$5:$I$17,((Pesos_Indicadores!$B$5:$B$17=$A$12)*Q41+(Pesos_Indicadores!$B$5:$B$17&lt;&gt;$A$12)*Pesos_Indicadores!$G$5:$G$17*(1-Q41)/(1-$B$12))),0)</f>
        <v>0.898461538461539</v>
      </c>
      <c r="S41" s="60" t="n">
        <f aca="false">IF(R41=0,"",IFERROR(SUMPRODUCT(Normalizacao!$AL$5:$AL$17,Pesos_Indicadores!$I$5:$I$17,((Pesos_Indicadores!$B$5:$B$17=$A$12)*Q41+(Pesos_Indicadores!$B$5:$B$17&lt;&gt;$A$12)*Pesos_Indicadores!$G$5:$G$17*(1-Q41)/(1-$B$12)),Normalizacao!$AI$5:$AI$17)/R41,""))</f>
        <v>0.729747402119056</v>
      </c>
      <c r="T41" s="60" t="n">
        <f aca="false">IF(R41=0,"",IFERROR(SUMPRODUCT(Normalizacao!$AL$5:$AL$17,Pesos_Indicadores!$I$5:$I$17,((Pesos_Indicadores!$B$5:$B$17=$A$12)*Q41+(Pesos_Indicadores!$B$5:$B$17&lt;&gt;$A$12)*Pesos_Indicadores!$G$5:$G$17*(1-Q41)/(1-$B$12)),Normalizacao!$AJ$5:$AJ$17)/R41,""))</f>
        <v>0.855301332638475</v>
      </c>
      <c r="U41" s="60" t="n">
        <f aca="false">IF(R41=0,"",IFERROR(SUMPRODUCT(Normalizacao!$AL$5:$AL$17,Pesos_Indicadores!$I$5:$I$17,((Pesos_Indicadores!$B$5:$B$17=$A$12)*Q41+(Pesos_Indicadores!$B$5:$B$17&lt;&gt;$A$12)*Pesos_Indicadores!$G$5:$G$17*(1-Q41)/(1-$B$12)),Normalizacao!$AK$5:$AK$17)/R41,""))</f>
        <v>0.866124358583119</v>
      </c>
      <c r="V41" s="17" t="str">
        <f aca="false">IF(S41="","",IF(INDEX(S41:U41,$B$5)&gt;=MAX(S41:U41),$B$4,INDEX(Pontuacao!$A$29:$A$31,MATCH(MAX(S41:U41),S41:U41,0))))</f>
        <v>Microsoft Azure</v>
      </c>
      <c r="W41" s="43" t="str">
        <f aca="false">IF(OR(V41="",V41=$B$4,ABS(Q41-$B$12)&lt;0.000000001),"",ABS(Q41-$B$12))</f>
        <v/>
      </c>
    </row>
    <row r="42" customFormat="false" ht="15" hidden="false" customHeight="true" outlineLevel="0" collapsed="false">
      <c r="A42" s="60" t="n">
        <f aca="false">(ROW()-17)*$B$6</f>
        <v>0.125</v>
      </c>
      <c r="B42" s="43" t="n">
        <f aca="false">IFERROR(SUMPRODUCT(Normalizacao!$AL$5:$AL$17,Pesos_Indicadores!$I$5:$I$17,((Pesos_Indicadores!$B$5:$B$17=$A$10)*A42+(Pesos_Indicadores!$B$5:$B$17&lt;&gt;$A$10)*Pesos_Indicadores!$G$5:$G$17*(1-A42)/(1-$B$10))),0)</f>
        <v>0.979807692307692</v>
      </c>
      <c r="C42" s="60" t="n">
        <f aca="false">IF(B42=0,"",IFERROR(SUMPRODUCT(Normalizacao!$AL$5:$AL$17,Pesos_Indicadores!$I$5:$I$17,((Pesos_Indicadores!$B$5:$B$17=$A$10)*A42+(Pesos_Indicadores!$B$5:$B$17&lt;&gt;$A$10)*Pesos_Indicadores!$G$5:$G$17*(1-A42)/(1-$B$10)),Normalizacao!$AI$5:$AI$17)/B42,""))</f>
        <v>0.741780035167066</v>
      </c>
      <c r="D42" s="60" t="n">
        <f aca="false">IF(B42=0,"",IFERROR(SUMPRODUCT(Normalizacao!$AL$5:$AL$17,Pesos_Indicadores!$I$5:$I$17,((Pesos_Indicadores!$B$5:$B$17=$A$10)*A42+(Pesos_Indicadores!$B$5:$B$17&lt;&gt;$A$10)*Pesos_Indicadores!$G$5:$G$17*(1-A42)/(1-$B$10)),Normalizacao!$AJ$5:$AJ$17)/B42,""))</f>
        <v>0.774487455732389</v>
      </c>
      <c r="E42" s="60" t="n">
        <f aca="false">IF(B42=0,"",IFERROR(SUMPRODUCT(Normalizacao!$AL$5:$AL$17,Pesos_Indicadores!$I$5:$I$17,((Pesos_Indicadores!$B$5:$B$17=$A$10)*A42+(Pesos_Indicadores!$B$5:$B$17&lt;&gt;$A$10)*Pesos_Indicadores!$G$5:$G$17*(1-A42)/(1-$B$10)),Normalizacao!$AK$5:$AK$17)/B42,""))</f>
        <v>0.825375987058961</v>
      </c>
      <c r="F42" s="17" t="str">
        <f aca="false">IF(C42="","",IF(INDEX(C42:E42,$B$5)&gt;=MAX(C42:E42),$B$4,INDEX(Pontuacao!$A$29:$A$31,MATCH(MAX(C42:E42),C42:E42,0))))</f>
        <v>Microsoft Azure</v>
      </c>
      <c r="G42" s="43" t="str">
        <f aca="false">IF(OR(F42="",F42=$B$4,ABS(A42-$B$10)&lt;0.000000001),"",ABS(A42-$B$10))</f>
        <v/>
      </c>
      <c r="I42" s="60" t="n">
        <f aca="false">(ROW()-17)*$B$6</f>
        <v>0.125</v>
      </c>
      <c r="J42" s="43" t="n">
        <f aca="false">IFERROR(SUMPRODUCT(Normalizacao!$AL$5:$AL$17,Pesos_Indicadores!$I$5:$I$17,((Pesos_Indicadores!$B$5:$B$17=$A$11)*I42+(Pesos_Indicadores!$B$5:$B$17&lt;&gt;$A$11)*Pesos_Indicadores!$G$5:$G$17*(1-I42)/(1-$B$11))),0)</f>
        <v>0.971153846153846</v>
      </c>
      <c r="K42" s="60" t="n">
        <f aca="false">IF(J42=0,"",IFERROR(SUMPRODUCT(Normalizacao!$AL$5:$AL$17,Pesos_Indicadores!$I$5:$I$17,((Pesos_Indicadores!$B$5:$B$17=$A$11)*I42+(Pesos_Indicadores!$B$5:$B$17&lt;&gt;$A$11)*Pesos_Indicadores!$G$5:$G$17*(1-I42)/(1-$B$11)),Normalizacao!$AI$5:$AI$17)/J42,""))</f>
        <v>0.749244256519474</v>
      </c>
      <c r="L42" s="60" t="n">
        <f aca="false">IF(J42=0,"",IFERROR(SUMPRODUCT(Normalizacao!$AL$5:$AL$17,Pesos_Indicadores!$I$5:$I$17,((Pesos_Indicadores!$B$5:$B$17=$A$11)*I42+(Pesos_Indicadores!$B$5:$B$17&lt;&gt;$A$11)*Pesos_Indicadores!$G$5:$G$17*(1-I42)/(1-$B$11)),Normalizacao!$AJ$5:$AJ$17)/J42,""))</f>
        <v>0.772343467498924</v>
      </c>
      <c r="M42" s="60" t="n">
        <f aca="false">IF(J42=0,"",IFERROR(SUMPRODUCT(Normalizacao!$AL$5:$AL$17,Pesos_Indicadores!$I$5:$I$17,((Pesos_Indicadores!$B$5:$B$17=$A$11)*I42+(Pesos_Indicadores!$B$5:$B$17&lt;&gt;$A$11)*Pesos_Indicadores!$G$5:$G$17*(1-I42)/(1-$B$11)),Normalizacao!$AK$5:$AK$17)/J42,""))</f>
        <v>0.823468890824726</v>
      </c>
      <c r="N42" s="17" t="str">
        <f aca="false">IF(K42="","",IF(INDEX(K42:M42,$B$5)&gt;=MAX(K42:M42),$B$4,INDEX(Pontuacao!$A$29:$A$31,MATCH(MAX(K42:M42),K42:M42,0))))</f>
        <v>Microsoft Azure</v>
      </c>
      <c r="O42" s="43" t="str">
        <f aca="false">IF(OR(N42="",N42=$B$4,ABS(I42-$B$11)&lt;0.000000001),"",ABS(I42-$B$11))</f>
        <v/>
      </c>
      <c r="Q42" s="60" t="n">
        <f aca="false">(ROW()-17)*$B$6</f>
        <v>0.125</v>
      </c>
      <c r="R42" s="43" t="n">
        <f aca="false">IFERROR(SUMPRODUCT(Normalizacao!$AL$5:$AL$17,Pesos_Indicadores!$I$5:$I$17,((Pesos_Indicadores!$B$5:$B$17=$A$12)*Q42+(Pesos_Indicadores!$B$5:$B$17&lt;&gt;$A$12)*Pesos_Indicadores!$G$5:$G$17*(1-Q42)/(1-$B$12))),0)</f>
        <v>0.899038461538462</v>
      </c>
      <c r="S42" s="60" t="n">
        <f aca="false">IF(R42=0,"",IFERROR(SUMPRODUCT(Normalizacao!$AL$5:$AL$17,Pesos_Indicadores!$I$5:$I$17,((Pesos_Indicadores!$B$5:$B$17=$A$12)*Q42+(Pesos_Indicadores!$B$5:$B$17&lt;&gt;$A$12)*Pesos_Indicadores!$G$5:$G$17*(1-Q42)/(1-$B$12)),Normalizacao!$AI$5:$AI$17)/R42,""))</f>
        <v>0.729875396174696</v>
      </c>
      <c r="T42" s="60" t="n">
        <f aca="false">IF(R42=0,"",IFERROR(SUMPRODUCT(Normalizacao!$AL$5:$AL$17,Pesos_Indicadores!$I$5:$I$17,((Pesos_Indicadores!$B$5:$B$17=$A$12)*Q42+(Pesos_Indicadores!$B$5:$B$17&lt;&gt;$A$12)*Pesos_Indicadores!$G$5:$G$17*(1-Q42)/(1-$B$12)),Normalizacao!$AJ$5:$AJ$17)/R42,""))</f>
        <v>0.854635840502209</v>
      </c>
      <c r="U42" s="60" t="n">
        <f aca="false">IF(R42=0,"",IFERROR(SUMPRODUCT(Normalizacao!$AL$5:$AL$17,Pesos_Indicadores!$I$5:$I$17,((Pesos_Indicadores!$B$5:$B$17=$A$12)*Q42+(Pesos_Indicadores!$B$5:$B$17&lt;&gt;$A$12)*Pesos_Indicadores!$G$5:$G$17*(1-Q42)/(1-$B$12)),Normalizacao!$AK$5:$AK$17)/R42,""))</f>
        <v>0.865785458893483</v>
      </c>
      <c r="V42" s="17" t="str">
        <f aca="false">IF(S42="","",IF(INDEX(S42:U42,$B$5)&gt;=MAX(S42:U42),$B$4,INDEX(Pontuacao!$A$29:$A$31,MATCH(MAX(S42:U42),S42:U42,0))))</f>
        <v>Microsoft Azure</v>
      </c>
      <c r="W42" s="43" t="str">
        <f aca="false">IF(OR(V42="",V42=$B$4,ABS(Q42-$B$12)&lt;0.000000001),"",ABS(Q42-$B$12))</f>
        <v/>
      </c>
    </row>
    <row r="43" customFormat="false" ht="15" hidden="false" customHeight="true" outlineLevel="0" collapsed="false">
      <c r="A43" s="60" t="n">
        <f aca="false">(ROW()-17)*$B$6</f>
        <v>0.13</v>
      </c>
      <c r="B43" s="43" t="n">
        <f aca="false">IFERROR(SUMPRODUCT(Normalizacao!$AL$5:$AL$17,Pesos_Indicadores!$I$5:$I$17,((Pesos_Indicadores!$B$5:$B$17=$A$10)*A43+(Pesos_Indicadores!$B$5:$B$17&lt;&gt;$A$10)*Pesos_Indicadores!$G$5:$G$17*(1-A43)/(1-$B$10))),0)</f>
        <v>0.979923076923077</v>
      </c>
      <c r="C43" s="60" t="n">
        <f aca="false">IF(B43=0,"",IFERROR(SUMPRODUCT(Normalizacao!$AL$5:$AL$17,Pesos_Indicadores!$I$5:$I$17,((Pesos_Indicadores!$B$5:$B$17=$A$10)*A43+(Pesos_Indicadores!$B$5:$B$17&lt;&gt;$A$10)*Pesos_Indicadores!$G$5:$G$17*(1-A43)/(1-$B$10)),Normalizacao!$AI$5:$AI$17)/B43,""))</f>
        <v>0.741138246790025</v>
      </c>
      <c r="D43" s="60" t="n">
        <f aca="false">IF(B43=0,"",IFERROR(SUMPRODUCT(Normalizacao!$AL$5:$AL$17,Pesos_Indicadores!$I$5:$I$17,((Pesos_Indicadores!$B$5:$B$17=$A$10)*A43+(Pesos_Indicadores!$B$5:$B$17&lt;&gt;$A$10)*Pesos_Indicadores!$G$5:$G$17*(1-A43)/(1-$B$10)),Normalizacao!$AJ$5:$AJ$17)/B43,""))</f>
        <v>0.775149958873299</v>
      </c>
      <c r="E43" s="60" t="n">
        <f aca="false">IF(B43=0,"",IFERROR(SUMPRODUCT(Normalizacao!$AL$5:$AL$17,Pesos_Indicadores!$I$5:$I$17,((Pesos_Indicadores!$B$5:$B$17=$A$10)*A43+(Pesos_Indicadores!$B$5:$B$17&lt;&gt;$A$10)*Pesos_Indicadores!$G$5:$G$17*(1-A43)/(1-$B$10)),Normalizacao!$AK$5:$AK$17)/B43,""))</f>
        <v>0.825772831620237</v>
      </c>
      <c r="F43" s="17" t="str">
        <f aca="false">IF(C43="","",IF(INDEX(C43:E43,$B$5)&gt;=MAX(C43:E43),$B$4,INDEX(Pontuacao!$A$29:$A$31,MATCH(MAX(C43:E43),C43:E43,0))))</f>
        <v>Microsoft Azure</v>
      </c>
      <c r="G43" s="43" t="str">
        <f aca="false">IF(OR(F43="",F43=$B$4,ABS(A43-$B$10)&lt;0.000000001),"",ABS(A43-$B$10))</f>
        <v/>
      </c>
      <c r="I43" s="60" t="n">
        <f aca="false">(ROW()-17)*$B$6</f>
        <v>0.13</v>
      </c>
      <c r="J43" s="43" t="n">
        <f aca="false">IFERROR(SUMPRODUCT(Normalizacao!$AL$5:$AL$17,Pesos_Indicadores!$I$5:$I$17,((Pesos_Indicadores!$B$5:$B$17=$A$11)*I43+(Pesos_Indicadores!$B$5:$B$17&lt;&gt;$A$11)*Pesos_Indicadores!$G$5:$G$17*(1-I43)/(1-$B$11))),0)</f>
        <v>0.97</v>
      </c>
      <c r="K43" s="60" t="n">
        <f aca="false">IF(J43=0,"",IFERROR(SUMPRODUCT(Normalizacao!$AL$5:$AL$17,Pesos_Indicadores!$I$5:$I$17,((Pesos_Indicadores!$B$5:$B$17=$A$11)*I43+(Pesos_Indicadores!$B$5:$B$17&lt;&gt;$A$11)*Pesos_Indicadores!$G$5:$G$17*(1-I43)/(1-$B$11)),Normalizacao!$AI$5:$AI$17)/J43,""))</f>
        <v>0.749700836301871</v>
      </c>
      <c r="L43" s="60" t="n">
        <f aca="false">IF(J43=0,"",IFERROR(SUMPRODUCT(Normalizacao!$AL$5:$AL$17,Pesos_Indicadores!$I$5:$I$17,((Pesos_Indicadores!$B$5:$B$17=$A$11)*I43+(Pesos_Indicadores!$B$5:$B$17&lt;&gt;$A$11)*Pesos_Indicadores!$G$5:$G$17*(1-I43)/(1-$B$11)),Normalizacao!$AJ$5:$AJ$17)/J43,""))</f>
        <v>0.772695372030479</v>
      </c>
      <c r="M43" s="60" t="n">
        <f aca="false">IF(J43=0,"",IFERROR(SUMPRODUCT(Normalizacao!$AL$5:$AL$17,Pesos_Indicadores!$I$5:$I$17,((Pesos_Indicadores!$B$5:$B$17=$A$11)*I43+(Pesos_Indicadores!$B$5:$B$17&lt;&gt;$A$11)*Pesos_Indicadores!$G$5:$G$17*(1-I43)/(1-$B$11)),Normalizacao!$AK$5:$AK$17)/J43,""))</f>
        <v>0.823587486375521</v>
      </c>
      <c r="N43" s="17" t="str">
        <f aca="false">IF(K43="","",IF(INDEX(K43:M43,$B$5)&gt;=MAX(K43:M43),$B$4,INDEX(Pontuacao!$A$29:$A$31,MATCH(MAX(K43:M43),K43:M43,0))))</f>
        <v>Microsoft Azure</v>
      </c>
      <c r="O43" s="43" t="str">
        <f aca="false">IF(OR(N43="",N43=$B$4,ABS(I43-$B$11)&lt;0.000000001),"",ABS(I43-$B$11))</f>
        <v/>
      </c>
      <c r="Q43" s="60" t="n">
        <f aca="false">(ROW()-17)*$B$6</f>
        <v>0.13</v>
      </c>
      <c r="R43" s="43" t="n">
        <f aca="false">IFERROR(SUMPRODUCT(Normalizacao!$AL$5:$AL$17,Pesos_Indicadores!$I$5:$I$17,((Pesos_Indicadores!$B$5:$B$17=$A$12)*Q43+(Pesos_Indicadores!$B$5:$B$17&lt;&gt;$A$12)*Pesos_Indicadores!$G$5:$G$17*(1-Q43)/(1-$B$12))),0)</f>
        <v>0.899615384615385</v>
      </c>
      <c r="S43" s="60" t="n">
        <f aca="false">IF(R43=0,"",IFERROR(SUMPRODUCT(Normalizacao!$AL$5:$AL$17,Pesos_Indicadores!$I$5:$I$17,((Pesos_Indicadores!$B$5:$B$17=$A$12)*Q43+(Pesos_Indicadores!$B$5:$B$17&lt;&gt;$A$12)*Pesos_Indicadores!$G$5:$G$17*(1-Q43)/(1-$B$12)),Normalizacao!$AI$5:$AI$17)/R43,""))</f>
        <v>0.730003226065238</v>
      </c>
      <c r="T43" s="60" t="n">
        <f aca="false">IF(R43=0,"",IFERROR(SUMPRODUCT(Normalizacao!$AL$5:$AL$17,Pesos_Indicadores!$I$5:$I$17,((Pesos_Indicadores!$B$5:$B$17=$A$12)*Q43+(Pesos_Indicadores!$B$5:$B$17&lt;&gt;$A$12)*Pesos_Indicadores!$G$5:$G$17*(1-Q43)/(1-$B$12)),Normalizacao!$AJ$5:$AJ$17)/R43,""))</f>
        <v>0.853971201925758</v>
      </c>
      <c r="U43" s="60" t="n">
        <f aca="false">IF(R43=0,"",IFERROR(SUMPRODUCT(Normalizacao!$AL$5:$AL$17,Pesos_Indicadores!$I$5:$I$17,((Pesos_Indicadores!$B$5:$B$17=$A$12)*Q43+(Pesos_Indicadores!$B$5:$B$17&lt;&gt;$A$12)*Pesos_Indicadores!$G$5:$G$17*(1-Q43)/(1-$B$12)),Normalizacao!$AK$5:$AK$17)/R43,""))</f>
        <v>0.865446993876387</v>
      </c>
      <c r="V43" s="17" t="str">
        <f aca="false">IF(S43="","",IF(INDEX(S43:U43,$B$5)&gt;=MAX(S43:U43),$B$4,INDEX(Pontuacao!$A$29:$A$31,MATCH(MAX(S43:U43),S43:U43,0))))</f>
        <v>Microsoft Azure</v>
      </c>
      <c r="W43" s="43" t="str">
        <f aca="false">IF(OR(V43="",V43=$B$4,ABS(Q43-$B$12)&lt;0.000000001),"",ABS(Q43-$B$12))</f>
        <v/>
      </c>
    </row>
    <row r="44" customFormat="false" ht="15" hidden="false" customHeight="true" outlineLevel="0" collapsed="false">
      <c r="A44" s="60" t="n">
        <f aca="false">(ROW()-17)*$B$6</f>
        <v>0.135</v>
      </c>
      <c r="B44" s="43" t="n">
        <f aca="false">IFERROR(SUMPRODUCT(Normalizacao!$AL$5:$AL$17,Pesos_Indicadores!$I$5:$I$17,((Pesos_Indicadores!$B$5:$B$17=$A$10)*A44+(Pesos_Indicadores!$B$5:$B$17&lt;&gt;$A$10)*Pesos_Indicadores!$G$5:$G$17*(1-A44)/(1-$B$10))),0)</f>
        <v>0.980038461538462</v>
      </c>
      <c r="C44" s="60" t="n">
        <f aca="false">IF(B44=0,"",IFERROR(SUMPRODUCT(Normalizacao!$AL$5:$AL$17,Pesos_Indicadores!$I$5:$I$17,((Pesos_Indicadores!$B$5:$B$17=$A$10)*A44+(Pesos_Indicadores!$B$5:$B$17&lt;&gt;$A$10)*Pesos_Indicadores!$G$5:$G$17*(1-A44)/(1-$B$10)),Normalizacao!$AI$5:$AI$17)/B44,""))</f>
        <v>0.740496609534614</v>
      </c>
      <c r="D44" s="60" t="n">
        <f aca="false">IF(B44=0,"",IFERROR(SUMPRODUCT(Normalizacao!$AL$5:$AL$17,Pesos_Indicadores!$I$5:$I$17,((Pesos_Indicadores!$B$5:$B$17=$A$10)*A44+(Pesos_Indicadores!$B$5:$B$17&lt;&gt;$A$10)*Pesos_Indicadores!$G$5:$G$17*(1-A44)/(1-$B$10)),Normalizacao!$AJ$5:$AJ$17)/B44,""))</f>
        <v>0.775812306014882</v>
      </c>
      <c r="E44" s="60" t="n">
        <f aca="false">IF(B44=0,"",IFERROR(SUMPRODUCT(Normalizacao!$AL$5:$AL$17,Pesos_Indicadores!$I$5:$I$17,((Pesos_Indicadores!$B$5:$B$17=$A$10)*A44+(Pesos_Indicadores!$B$5:$B$17&lt;&gt;$A$10)*Pesos_Indicadores!$G$5:$G$17*(1-A44)/(1-$B$10)),Normalizacao!$AK$5:$AK$17)/B44,""))</f>
        <v>0.826169582736697</v>
      </c>
      <c r="F44" s="17" t="str">
        <f aca="false">IF(C44="","",IF(INDEX(C44:E44,$B$5)&gt;=MAX(C44:E44),$B$4,INDEX(Pontuacao!$A$29:$A$31,MATCH(MAX(C44:E44),C44:E44,0))))</f>
        <v>Microsoft Azure</v>
      </c>
      <c r="G44" s="43" t="str">
        <f aca="false">IF(OR(F44="",F44=$B$4,ABS(A44-$B$10)&lt;0.000000001),"",ABS(A44-$B$10))</f>
        <v/>
      </c>
      <c r="I44" s="60" t="n">
        <f aca="false">(ROW()-17)*$B$6</f>
        <v>0.135</v>
      </c>
      <c r="J44" s="43" t="n">
        <f aca="false">IFERROR(SUMPRODUCT(Normalizacao!$AL$5:$AL$17,Pesos_Indicadores!$I$5:$I$17,((Pesos_Indicadores!$B$5:$B$17=$A$11)*I44+(Pesos_Indicadores!$B$5:$B$17&lt;&gt;$A$11)*Pesos_Indicadores!$G$5:$G$17*(1-I44)/(1-$B$11))),0)</f>
        <v>0.968846153846154</v>
      </c>
      <c r="K44" s="60" t="n">
        <f aca="false">IF(J44=0,"",IFERROR(SUMPRODUCT(Normalizacao!$AL$5:$AL$17,Pesos_Indicadores!$I$5:$I$17,((Pesos_Indicadores!$B$5:$B$17=$A$11)*I44+(Pesos_Indicadores!$B$5:$B$17&lt;&gt;$A$11)*Pesos_Indicadores!$G$5:$G$17*(1-I44)/(1-$B$11)),Normalizacao!$AI$5:$AI$17)/J44,""))</f>
        <v>0.750158503610546</v>
      </c>
      <c r="L44" s="60" t="n">
        <f aca="false">IF(J44=0,"",IFERROR(SUMPRODUCT(Normalizacao!$AL$5:$AL$17,Pesos_Indicadores!$I$5:$I$17,((Pesos_Indicadores!$B$5:$B$17=$A$11)*I44+(Pesos_Indicadores!$B$5:$B$17&lt;&gt;$A$11)*Pesos_Indicadores!$G$5:$G$17*(1-I44)/(1-$B$11)),Normalizacao!$AJ$5:$AJ$17)/J44,""))</f>
        <v>0.773048114762587</v>
      </c>
      <c r="M44" s="60" t="n">
        <f aca="false">IF(J44=0,"",IFERROR(SUMPRODUCT(Normalizacao!$AL$5:$AL$17,Pesos_Indicadores!$I$5:$I$17,((Pesos_Indicadores!$B$5:$B$17=$A$11)*I44+(Pesos_Indicadores!$B$5:$B$17&lt;&gt;$A$11)*Pesos_Indicadores!$G$5:$G$17*(1-I44)/(1-$B$11)),Normalizacao!$AK$5:$AK$17)/J44,""))</f>
        <v>0.823706364408771</v>
      </c>
      <c r="N44" s="17" t="str">
        <f aca="false">IF(K44="","",IF(INDEX(K44:M44,$B$5)&gt;=MAX(K44:M44),$B$4,INDEX(Pontuacao!$A$29:$A$31,MATCH(MAX(K44:M44),K44:M44,0))))</f>
        <v>Microsoft Azure</v>
      </c>
      <c r="O44" s="43" t="str">
        <f aca="false">IF(OR(N44="",N44=$B$4,ABS(I44-$B$11)&lt;0.000000001),"",ABS(I44-$B$11))</f>
        <v/>
      </c>
      <c r="Q44" s="60" t="n">
        <f aca="false">(ROW()-17)*$B$6</f>
        <v>0.135</v>
      </c>
      <c r="R44" s="43" t="n">
        <f aca="false">IFERROR(SUMPRODUCT(Normalizacao!$AL$5:$AL$17,Pesos_Indicadores!$I$5:$I$17,((Pesos_Indicadores!$B$5:$B$17=$A$12)*Q44+(Pesos_Indicadores!$B$5:$B$17&lt;&gt;$A$12)*Pesos_Indicadores!$G$5:$G$17*(1-Q44)/(1-$B$12))),0)</f>
        <v>0.900192307692308</v>
      </c>
      <c r="S44" s="60" t="n">
        <f aca="false">IF(R44=0,"",IFERROR(SUMPRODUCT(Normalizacao!$AL$5:$AL$17,Pesos_Indicadores!$I$5:$I$17,((Pesos_Indicadores!$B$5:$B$17=$A$12)*Q44+(Pesos_Indicadores!$B$5:$B$17&lt;&gt;$A$12)*Pesos_Indicadores!$G$5:$G$17*(1-Q44)/(1-$B$12)),Normalizacao!$AI$5:$AI$17)/R44,""))</f>
        <v>0.730130892106314</v>
      </c>
      <c r="T44" s="60" t="n">
        <f aca="false">IF(R44=0,"",IFERROR(SUMPRODUCT(Normalizacao!$AL$5:$AL$17,Pesos_Indicadores!$I$5:$I$17,((Pesos_Indicadores!$B$5:$B$17=$A$12)*Q44+(Pesos_Indicadores!$B$5:$B$17&lt;&gt;$A$12)*Pesos_Indicadores!$G$5:$G$17*(1-Q44)/(1-$B$12)),Normalizacao!$AJ$5:$AJ$17)/R44,""))</f>
        <v>0.853307415268012</v>
      </c>
      <c r="U44" s="60" t="n">
        <f aca="false">IF(R44=0,"",IFERROR(SUMPRODUCT(Normalizacao!$AL$5:$AL$17,Pesos_Indicadores!$I$5:$I$17,((Pesos_Indicadores!$B$5:$B$17=$A$12)*Q44+(Pesos_Indicadores!$B$5:$B$17&lt;&gt;$A$12)*Pesos_Indicadores!$G$5:$G$17*(1-Q44)/(1-$B$12)),Normalizacao!$AK$5:$AK$17)/R44,""))</f>
        <v>0.865108962696099</v>
      </c>
      <c r="V44" s="17" t="str">
        <f aca="false">IF(S44="","",IF(INDEX(S44:U44,$B$5)&gt;=MAX(S44:U44),$B$4,INDEX(Pontuacao!$A$29:$A$31,MATCH(MAX(S44:U44),S44:U44,0))))</f>
        <v>Microsoft Azure</v>
      </c>
      <c r="W44" s="43" t="str">
        <f aca="false">IF(OR(V44="",V44=$B$4,ABS(Q44-$B$12)&lt;0.000000001),"",ABS(Q44-$B$12))</f>
        <v/>
      </c>
    </row>
    <row r="45" customFormat="false" ht="15" hidden="false" customHeight="true" outlineLevel="0" collapsed="false">
      <c r="A45" s="60" t="n">
        <f aca="false">(ROW()-17)*$B$6</f>
        <v>0.14</v>
      </c>
      <c r="B45" s="43" t="n">
        <f aca="false">IFERROR(SUMPRODUCT(Normalizacao!$AL$5:$AL$17,Pesos_Indicadores!$I$5:$I$17,((Pesos_Indicadores!$B$5:$B$17=$A$10)*A45+(Pesos_Indicadores!$B$5:$B$17&lt;&gt;$A$10)*Pesos_Indicadores!$G$5:$G$17*(1-A45)/(1-$B$10))),0)</f>
        <v>0.980153846153846</v>
      </c>
      <c r="C45" s="60" t="n">
        <f aca="false">IF(B45=0,"",IFERROR(SUMPRODUCT(Normalizacao!$AL$5:$AL$17,Pesos_Indicadores!$I$5:$I$17,((Pesos_Indicadores!$B$5:$B$17=$A$10)*A45+(Pesos_Indicadores!$B$5:$B$17&lt;&gt;$A$10)*Pesos_Indicadores!$G$5:$G$17*(1-A45)/(1-$B$10)),Normalizacao!$AI$5:$AI$17)/B45,""))</f>
        <v>0.739855123347462</v>
      </c>
      <c r="D45" s="60" t="n">
        <f aca="false">IF(B45=0,"",IFERROR(SUMPRODUCT(Normalizacao!$AL$5:$AL$17,Pesos_Indicadores!$I$5:$I$17,((Pesos_Indicadores!$B$5:$B$17=$A$10)*A45+(Pesos_Indicadores!$B$5:$B$17&lt;&gt;$A$10)*Pesos_Indicadores!$G$5:$G$17*(1-A45)/(1-$B$10)),Normalizacao!$AJ$5:$AJ$17)/B45,""))</f>
        <v>0.776474497212232</v>
      </c>
      <c r="E45" s="60" t="n">
        <f aca="false">IF(B45=0,"",IFERROR(SUMPRODUCT(Normalizacao!$AL$5:$AL$17,Pesos_Indicadores!$I$5:$I$17,((Pesos_Indicadores!$B$5:$B$17=$A$10)*A45+(Pesos_Indicadores!$B$5:$B$17&lt;&gt;$A$10)*Pesos_Indicadores!$G$5:$G$17*(1-A45)/(1-$B$10)),Normalizacao!$AK$5:$AK$17)/B45,""))</f>
        <v>0.826566240441341</v>
      </c>
      <c r="F45" s="17" t="str">
        <f aca="false">IF(C45="","",IF(INDEX(C45:E45,$B$5)&gt;=MAX(C45:E45),$B$4,INDEX(Pontuacao!$A$29:$A$31,MATCH(MAX(C45:E45),C45:E45,0))))</f>
        <v>Microsoft Azure</v>
      </c>
      <c r="G45" s="43" t="str">
        <f aca="false">IF(OR(F45="",F45=$B$4,ABS(A45-$B$10)&lt;0.000000001),"",ABS(A45-$B$10))</f>
        <v/>
      </c>
      <c r="I45" s="60" t="n">
        <f aca="false">(ROW()-17)*$B$6</f>
        <v>0.14</v>
      </c>
      <c r="J45" s="43" t="n">
        <f aca="false">IFERROR(SUMPRODUCT(Normalizacao!$AL$5:$AL$17,Pesos_Indicadores!$I$5:$I$17,((Pesos_Indicadores!$B$5:$B$17=$A$11)*I45+(Pesos_Indicadores!$B$5:$B$17&lt;&gt;$A$11)*Pesos_Indicadores!$G$5:$G$17*(1-I45)/(1-$B$11))),0)</f>
        <v>0.967692307692308</v>
      </c>
      <c r="K45" s="60" t="n">
        <f aca="false">IF(J45=0,"",IFERROR(SUMPRODUCT(Normalizacao!$AL$5:$AL$17,Pesos_Indicadores!$I$5:$I$17,((Pesos_Indicadores!$B$5:$B$17=$A$11)*I45+(Pesos_Indicadores!$B$5:$B$17&lt;&gt;$A$11)*Pesos_Indicadores!$G$5:$G$17*(1-I45)/(1-$B$11)),Normalizacao!$AI$5:$AI$17)/J45,""))</f>
        <v>0.750617262335697</v>
      </c>
      <c r="L45" s="60" t="n">
        <f aca="false">IF(J45=0,"",IFERROR(SUMPRODUCT(Normalizacao!$AL$5:$AL$17,Pesos_Indicadores!$I$5:$I$17,((Pesos_Indicadores!$B$5:$B$17=$A$11)*I45+(Pesos_Indicadores!$B$5:$B$17&lt;&gt;$A$11)*Pesos_Indicadores!$G$5:$G$17*(1-I45)/(1-$B$11)),Normalizacao!$AJ$5:$AJ$17)/J45,""))</f>
        <v>0.773401698693578</v>
      </c>
      <c r="M45" s="60" t="n">
        <f aca="false">IF(J45=0,"",IFERROR(SUMPRODUCT(Normalizacao!$AL$5:$AL$17,Pesos_Indicadores!$I$5:$I$17,((Pesos_Indicadores!$B$5:$B$17=$A$11)*I45+(Pesos_Indicadores!$B$5:$B$17&lt;&gt;$A$11)*Pesos_Indicadores!$G$5:$G$17*(1-I45)/(1-$B$11)),Normalizacao!$AK$5:$AK$17)/J45,""))</f>
        <v>0.823825525934946</v>
      </c>
      <c r="N45" s="17" t="str">
        <f aca="false">IF(K45="","",IF(INDEX(K45:M45,$B$5)&gt;=MAX(K45:M45),$B$4,INDEX(Pontuacao!$A$29:$A$31,MATCH(MAX(K45:M45),K45:M45,0))))</f>
        <v>Microsoft Azure</v>
      </c>
      <c r="O45" s="43" t="str">
        <f aca="false">IF(OR(N45="",N45=$B$4,ABS(I45-$B$11)&lt;0.000000001),"",ABS(I45-$B$11))</f>
        <v/>
      </c>
      <c r="Q45" s="60" t="n">
        <f aca="false">(ROW()-17)*$B$6</f>
        <v>0.14</v>
      </c>
      <c r="R45" s="43" t="n">
        <f aca="false">IFERROR(SUMPRODUCT(Normalizacao!$AL$5:$AL$17,Pesos_Indicadores!$I$5:$I$17,((Pesos_Indicadores!$B$5:$B$17=$A$12)*Q45+(Pesos_Indicadores!$B$5:$B$17&lt;&gt;$A$12)*Pesos_Indicadores!$G$5:$G$17*(1-Q45)/(1-$B$12))),0)</f>
        <v>0.900769230769231</v>
      </c>
      <c r="S45" s="60" t="n">
        <f aca="false">IF(R45=0,"",IFERROR(SUMPRODUCT(Normalizacao!$AL$5:$AL$17,Pesos_Indicadores!$I$5:$I$17,((Pesos_Indicadores!$B$5:$B$17=$A$12)*Q45+(Pesos_Indicadores!$B$5:$B$17&lt;&gt;$A$12)*Pesos_Indicadores!$G$5:$G$17*(1-Q45)/(1-$B$12)),Normalizacao!$AI$5:$AI$17)/R45,""))</f>
        <v>0.730258394612752</v>
      </c>
      <c r="T45" s="60" t="n">
        <f aca="false">IF(R45=0,"",IFERROR(SUMPRODUCT(Normalizacao!$AL$5:$AL$17,Pesos_Indicadores!$I$5:$I$17,((Pesos_Indicadores!$B$5:$B$17=$A$12)*Q45+(Pesos_Indicadores!$B$5:$B$17&lt;&gt;$A$12)*Pesos_Indicadores!$G$5:$G$17*(1-Q45)/(1-$B$12)),Normalizacao!$AJ$5:$AJ$17)/R45,""))</f>
        <v>0.852644478892065</v>
      </c>
      <c r="U45" s="60" t="n">
        <f aca="false">IF(R45=0,"",IFERROR(SUMPRODUCT(Normalizacao!$AL$5:$AL$17,Pesos_Indicadores!$I$5:$I$17,((Pesos_Indicadores!$B$5:$B$17=$A$12)*Q45+(Pesos_Indicadores!$B$5:$B$17&lt;&gt;$A$12)*Pesos_Indicadores!$G$5:$G$17*(1-Q45)/(1-$B$12)),Normalizacao!$AK$5:$AK$17)/R45,""))</f>
        <v>0.864771364519031</v>
      </c>
      <c r="V45" s="17" t="str">
        <f aca="false">IF(S45="","",IF(INDEX(S45:U45,$B$5)&gt;=MAX(S45:U45),$B$4,INDEX(Pontuacao!$A$29:$A$31,MATCH(MAX(S45:U45),S45:U45,0))))</f>
        <v>Microsoft Azure</v>
      </c>
      <c r="W45" s="43" t="str">
        <f aca="false">IF(OR(V45="",V45=$B$4,ABS(Q45-$B$12)&lt;0.000000001),"",ABS(Q45-$B$12))</f>
        <v/>
      </c>
    </row>
    <row r="46" customFormat="false" ht="15" hidden="false" customHeight="true" outlineLevel="0" collapsed="false">
      <c r="A46" s="60" t="n">
        <f aca="false">(ROW()-17)*$B$6</f>
        <v>0.145</v>
      </c>
      <c r="B46" s="43" t="n">
        <f aca="false">IFERROR(SUMPRODUCT(Normalizacao!$AL$5:$AL$17,Pesos_Indicadores!$I$5:$I$17,((Pesos_Indicadores!$B$5:$B$17=$A$10)*A46+(Pesos_Indicadores!$B$5:$B$17&lt;&gt;$A$10)*Pesos_Indicadores!$G$5:$G$17*(1-A46)/(1-$B$10))),0)</f>
        <v>0.980269230769231</v>
      </c>
      <c r="C46" s="60" t="n">
        <f aca="false">IF(B46=0,"",IFERROR(SUMPRODUCT(Normalizacao!$AL$5:$AL$17,Pesos_Indicadores!$I$5:$I$17,((Pesos_Indicadores!$B$5:$B$17=$A$10)*A46+(Pesos_Indicadores!$B$5:$B$17&lt;&gt;$A$10)*Pesos_Indicadores!$G$5:$G$17*(1-A46)/(1-$B$10)),Normalizacao!$AI$5:$AI$17)/B46,""))</f>
        <v>0.739213788175225</v>
      </c>
      <c r="D46" s="60" t="n">
        <f aca="false">IF(B46=0,"",IFERROR(SUMPRODUCT(Normalizacao!$AL$5:$AL$17,Pesos_Indicadores!$I$5:$I$17,((Pesos_Indicadores!$B$5:$B$17=$A$10)*A46+(Pesos_Indicadores!$B$5:$B$17&lt;&gt;$A$10)*Pesos_Indicadores!$G$5:$G$17*(1-A46)/(1-$B$10)),Normalizacao!$AJ$5:$AJ$17)/B46,""))</f>
        <v>0.777136532520416</v>
      </c>
      <c r="E46" s="60" t="n">
        <f aca="false">IF(B46=0,"",IFERROR(SUMPRODUCT(Normalizacao!$AL$5:$AL$17,Pesos_Indicadores!$I$5:$I$17,((Pesos_Indicadores!$B$5:$B$17=$A$10)*A46+(Pesos_Indicadores!$B$5:$B$17&lt;&gt;$A$10)*Pesos_Indicadores!$G$5:$G$17*(1-A46)/(1-$B$10)),Normalizacao!$AK$5:$AK$17)/B46,""))</f>
        <v>0.826962804767156</v>
      </c>
      <c r="F46" s="17" t="str">
        <f aca="false">IF(C46="","",IF(INDEX(C46:E46,$B$5)&gt;=MAX(C46:E46),$B$4,INDEX(Pontuacao!$A$29:$A$31,MATCH(MAX(C46:E46),C46:E46,0))))</f>
        <v>Microsoft Azure</v>
      </c>
      <c r="G46" s="43" t="str">
        <f aca="false">IF(OR(F46="",F46=$B$4,ABS(A46-$B$10)&lt;0.000000001),"",ABS(A46-$B$10))</f>
        <v/>
      </c>
      <c r="I46" s="60" t="n">
        <f aca="false">(ROW()-17)*$B$6</f>
        <v>0.145</v>
      </c>
      <c r="J46" s="43" t="n">
        <f aca="false">IFERROR(SUMPRODUCT(Normalizacao!$AL$5:$AL$17,Pesos_Indicadores!$I$5:$I$17,((Pesos_Indicadores!$B$5:$B$17=$A$11)*I46+(Pesos_Indicadores!$B$5:$B$17&lt;&gt;$A$11)*Pesos_Indicadores!$G$5:$G$17*(1-I46)/(1-$B$11))),0)</f>
        <v>0.966538461538462</v>
      </c>
      <c r="K46" s="60" t="n">
        <f aca="false">IF(J46=0,"",IFERROR(SUMPRODUCT(Normalizacao!$AL$5:$AL$17,Pesos_Indicadores!$I$5:$I$17,((Pesos_Indicadores!$B$5:$B$17=$A$11)*I46+(Pesos_Indicadores!$B$5:$B$17&lt;&gt;$A$11)*Pesos_Indicadores!$G$5:$G$17*(1-I46)/(1-$B$11)),Normalizacao!$AI$5:$AI$17)/J46,""))</f>
        <v>0.751077116386097</v>
      </c>
      <c r="L46" s="60" t="n">
        <f aca="false">IF(J46=0,"",IFERROR(SUMPRODUCT(Normalizacao!$AL$5:$AL$17,Pesos_Indicadores!$I$5:$I$17,((Pesos_Indicadores!$B$5:$B$17=$A$11)*I46+(Pesos_Indicadores!$B$5:$B$17&lt;&gt;$A$11)*Pesos_Indicadores!$G$5:$G$17*(1-I46)/(1-$B$11)),Normalizacao!$AJ$5:$AJ$17)/J46,""))</f>
        <v>0.773756126836105</v>
      </c>
      <c r="M46" s="60" t="n">
        <f aca="false">IF(J46=0,"",IFERROR(SUMPRODUCT(Normalizacao!$AL$5:$AL$17,Pesos_Indicadores!$I$5:$I$17,((Pesos_Indicadores!$B$5:$B$17=$A$11)*I46+(Pesos_Indicadores!$B$5:$B$17&lt;&gt;$A$11)*Pesos_Indicadores!$G$5:$G$17*(1-I46)/(1-$B$11)),Normalizacao!$AK$5:$AK$17)/J46,""))</f>
        <v>0.823944971969342</v>
      </c>
      <c r="N46" s="17" t="str">
        <f aca="false">IF(K46="","",IF(INDEX(K46:M46,$B$5)&gt;=MAX(K46:M46),$B$4,INDEX(Pontuacao!$A$29:$A$31,MATCH(MAX(K46:M46),K46:M46,0))))</f>
        <v>Microsoft Azure</v>
      </c>
      <c r="O46" s="43" t="str">
        <f aca="false">IF(OR(N46="",N46=$B$4,ABS(I46-$B$11)&lt;0.000000001),"",ABS(I46-$B$11))</f>
        <v/>
      </c>
      <c r="Q46" s="60" t="n">
        <f aca="false">(ROW()-17)*$B$6</f>
        <v>0.145</v>
      </c>
      <c r="R46" s="43" t="n">
        <f aca="false">IFERROR(SUMPRODUCT(Normalizacao!$AL$5:$AL$17,Pesos_Indicadores!$I$5:$I$17,((Pesos_Indicadores!$B$5:$B$17=$A$12)*Q46+(Pesos_Indicadores!$B$5:$B$17&lt;&gt;$A$12)*Pesos_Indicadores!$G$5:$G$17*(1-Q46)/(1-$B$12))),0)</f>
        <v>0.901346153846154</v>
      </c>
      <c r="S46" s="60" t="n">
        <f aca="false">IF(R46=0,"",IFERROR(SUMPRODUCT(Normalizacao!$AL$5:$AL$17,Pesos_Indicadores!$I$5:$I$17,((Pesos_Indicadores!$B$5:$B$17=$A$12)*Q46+(Pesos_Indicadores!$B$5:$B$17&lt;&gt;$A$12)*Pesos_Indicadores!$G$5:$G$17*(1-Q46)/(1-$B$12)),Normalizacao!$AI$5:$AI$17)/R46,""))</f>
        <v>0.730385733898572</v>
      </c>
      <c r="T46" s="60" t="n">
        <f aca="false">IF(R46=0,"",IFERROR(SUMPRODUCT(Normalizacao!$AL$5:$AL$17,Pesos_Indicadores!$I$5:$I$17,((Pesos_Indicadores!$B$5:$B$17=$A$12)*Q46+(Pesos_Indicadores!$B$5:$B$17&lt;&gt;$A$12)*Pesos_Indicadores!$G$5:$G$17*(1-Q46)/(1-$B$12)),Normalizacao!$AJ$5:$AJ$17)/R46,""))</f>
        <v>0.851982391165203</v>
      </c>
      <c r="U46" s="60" t="n">
        <f aca="false">IF(R46=0,"",IFERROR(SUMPRODUCT(Normalizacao!$AL$5:$AL$17,Pesos_Indicadores!$I$5:$I$17,((Pesos_Indicadores!$B$5:$B$17=$A$12)*Q46+(Pesos_Indicadores!$B$5:$B$17&lt;&gt;$A$12)*Pesos_Indicadores!$G$5:$G$17*(1-Q46)/(1-$B$12)),Normalizacao!$AK$5:$AK$17)/R46,""))</f>
        <v>0.864434198513728</v>
      </c>
      <c r="V46" s="17" t="str">
        <f aca="false">IF(S46="","",IF(INDEX(S46:U46,$B$5)&gt;=MAX(S46:U46),$B$4,INDEX(Pontuacao!$A$29:$A$31,MATCH(MAX(S46:U46),S46:U46,0))))</f>
        <v>Microsoft Azure</v>
      </c>
      <c r="W46" s="43" t="str">
        <f aca="false">IF(OR(V46="",V46=$B$4,ABS(Q46-$B$12)&lt;0.000000001),"",ABS(Q46-$B$12))</f>
        <v/>
      </c>
    </row>
    <row r="47" customFormat="false" ht="15" hidden="false" customHeight="true" outlineLevel="0" collapsed="false">
      <c r="A47" s="60" t="n">
        <f aca="false">(ROW()-17)*$B$6</f>
        <v>0.15</v>
      </c>
      <c r="B47" s="43" t="n">
        <f aca="false">IFERROR(SUMPRODUCT(Normalizacao!$AL$5:$AL$17,Pesos_Indicadores!$I$5:$I$17,((Pesos_Indicadores!$B$5:$B$17=$A$10)*A47+(Pesos_Indicadores!$B$5:$B$17&lt;&gt;$A$10)*Pesos_Indicadores!$G$5:$G$17*(1-A47)/(1-$B$10))),0)</f>
        <v>0.980384615384615</v>
      </c>
      <c r="C47" s="60" t="n">
        <f aca="false">IF(B47=0,"",IFERROR(SUMPRODUCT(Normalizacao!$AL$5:$AL$17,Pesos_Indicadores!$I$5:$I$17,((Pesos_Indicadores!$B$5:$B$17=$A$10)*A47+(Pesos_Indicadores!$B$5:$B$17&lt;&gt;$A$10)*Pesos_Indicadores!$G$5:$G$17*(1-A47)/(1-$B$10)),Normalizacao!$AI$5:$AI$17)/B47,""))</f>
        <v>0.738572603964583</v>
      </c>
      <c r="D47" s="60" t="n">
        <f aca="false">IF(B47=0,"",IFERROR(SUMPRODUCT(Normalizacao!$AL$5:$AL$17,Pesos_Indicadores!$I$5:$I$17,((Pesos_Indicadores!$B$5:$B$17=$A$10)*A47+(Pesos_Indicadores!$B$5:$B$17&lt;&gt;$A$10)*Pesos_Indicadores!$G$5:$G$17*(1-A47)/(1-$B$10)),Normalizacao!$AJ$5:$AJ$17)/B47,""))</f>
        <v>0.777798411994473</v>
      </c>
      <c r="E47" s="60" t="n">
        <f aca="false">IF(B47=0,"",IFERROR(SUMPRODUCT(Normalizacao!$AL$5:$AL$17,Pesos_Indicadores!$I$5:$I$17,((Pesos_Indicadores!$B$5:$B$17=$A$10)*A47+(Pesos_Indicadores!$B$5:$B$17&lt;&gt;$A$10)*Pesos_Indicadores!$G$5:$G$17*(1-A47)/(1-$B$10)),Normalizacao!$AK$5:$AK$17)/B47,""))</f>
        <v>0.827359275747112</v>
      </c>
      <c r="F47" s="17" t="str">
        <f aca="false">IF(C47="","",IF(INDEX(C47:E47,$B$5)&gt;=MAX(C47:E47),$B$4,INDEX(Pontuacao!$A$29:$A$31,MATCH(MAX(C47:E47),C47:E47,0))))</f>
        <v>Microsoft Azure</v>
      </c>
      <c r="G47" s="43" t="str">
        <f aca="false">IF(OR(F47="",F47=$B$4,ABS(A47-$B$10)&lt;0.000000001),"",ABS(A47-$B$10))</f>
        <v/>
      </c>
      <c r="I47" s="60" t="n">
        <f aca="false">(ROW()-17)*$B$6</f>
        <v>0.15</v>
      </c>
      <c r="J47" s="43" t="n">
        <f aca="false">IFERROR(SUMPRODUCT(Normalizacao!$AL$5:$AL$17,Pesos_Indicadores!$I$5:$I$17,((Pesos_Indicadores!$B$5:$B$17=$A$11)*I47+(Pesos_Indicadores!$B$5:$B$17&lt;&gt;$A$11)*Pesos_Indicadores!$G$5:$G$17*(1-I47)/(1-$B$11))),0)</f>
        <v>0.965384615384615</v>
      </c>
      <c r="K47" s="60" t="n">
        <f aca="false">IF(J47=0,"",IFERROR(SUMPRODUCT(Normalizacao!$AL$5:$AL$17,Pesos_Indicadores!$I$5:$I$17,((Pesos_Indicadores!$B$5:$B$17=$A$11)*I47+(Pesos_Indicadores!$B$5:$B$17&lt;&gt;$A$11)*Pesos_Indicadores!$G$5:$G$17*(1-I47)/(1-$B$11)),Normalizacao!$AI$5:$AI$17)/J47,""))</f>
        <v>0.751538069689207</v>
      </c>
      <c r="L47" s="60" t="n">
        <f aca="false">IF(J47=0,"",IFERROR(SUMPRODUCT(Normalizacao!$AL$5:$AL$17,Pesos_Indicadores!$I$5:$I$17,((Pesos_Indicadores!$B$5:$B$17=$A$11)*I47+(Pesos_Indicadores!$B$5:$B$17&lt;&gt;$A$11)*Pesos_Indicadores!$G$5:$G$17*(1-I47)/(1-$B$11)),Normalizacao!$AJ$5:$AJ$17)/J47,""))</f>
        <v>0.774111402217218</v>
      </c>
      <c r="M47" s="60" t="n">
        <f aca="false">IF(J47=0,"",IFERROR(SUMPRODUCT(Normalizacao!$AL$5:$AL$17,Pesos_Indicadores!$I$5:$I$17,((Pesos_Indicadores!$B$5:$B$17=$A$11)*I47+(Pesos_Indicadores!$B$5:$B$17&lt;&gt;$A$11)*Pesos_Indicadores!$G$5:$G$17*(1-I47)/(1-$B$11)),Normalizacao!$AK$5:$AK$17)/J47,""))</f>
        <v>0.824064703532106</v>
      </c>
      <c r="N47" s="17" t="str">
        <f aca="false">IF(K47="","",IF(INDEX(K47:M47,$B$5)&gt;=MAX(K47:M47),$B$4,INDEX(Pontuacao!$A$29:$A$31,MATCH(MAX(K47:M47),K47:M47,0))))</f>
        <v>Microsoft Azure</v>
      </c>
      <c r="O47" s="43" t="str">
        <f aca="false">IF(OR(N47="",N47=$B$4,ABS(I47-$B$11)&lt;0.000000001),"",ABS(I47-$B$11))</f>
        <v/>
      </c>
      <c r="Q47" s="60" t="n">
        <f aca="false">(ROW()-17)*$B$6</f>
        <v>0.15</v>
      </c>
      <c r="R47" s="43" t="n">
        <f aca="false">IFERROR(SUMPRODUCT(Normalizacao!$AL$5:$AL$17,Pesos_Indicadores!$I$5:$I$17,((Pesos_Indicadores!$B$5:$B$17=$A$12)*Q47+(Pesos_Indicadores!$B$5:$B$17&lt;&gt;$A$12)*Pesos_Indicadores!$G$5:$G$17*(1-Q47)/(1-$B$12))),0)</f>
        <v>0.901923076923077</v>
      </c>
      <c r="S47" s="60" t="n">
        <f aca="false">IF(R47=0,"",IFERROR(SUMPRODUCT(Normalizacao!$AL$5:$AL$17,Pesos_Indicadores!$I$5:$I$17,((Pesos_Indicadores!$B$5:$B$17=$A$12)*Q47+(Pesos_Indicadores!$B$5:$B$17&lt;&gt;$A$12)*Pesos_Indicadores!$G$5:$G$17*(1-Q47)/(1-$B$12)),Normalizacao!$AI$5:$AI$17)/R47,""))</f>
        <v>0.73051291027699</v>
      </c>
      <c r="T47" s="60" t="n">
        <f aca="false">IF(R47=0,"",IFERROR(SUMPRODUCT(Normalizacao!$AL$5:$AL$17,Pesos_Indicadores!$I$5:$I$17,((Pesos_Indicadores!$B$5:$B$17=$A$12)*Q47+(Pesos_Indicadores!$B$5:$B$17&lt;&gt;$A$12)*Pesos_Indicadores!$G$5:$G$17*(1-Q47)/(1-$B$12)),Normalizacao!$AJ$5:$AJ$17)/R47,""))</f>
        <v>0.851321150458886</v>
      </c>
      <c r="U47" s="60" t="n">
        <f aca="false">IF(R47=0,"",IFERROR(SUMPRODUCT(Normalizacao!$AL$5:$AL$17,Pesos_Indicadores!$I$5:$I$17,((Pesos_Indicadores!$B$5:$B$17=$A$12)*Q47+(Pesos_Indicadores!$B$5:$B$17&lt;&gt;$A$12)*Pesos_Indicadores!$G$5:$G$17*(1-Q47)/(1-$B$12)),Normalizacao!$AK$5:$AK$17)/R47,""))</f>
        <v>0.864097463850863</v>
      </c>
      <c r="V47" s="17" t="str">
        <f aca="false">IF(S47="","",IF(INDEX(S47:U47,$B$5)&gt;=MAX(S47:U47),$B$4,INDEX(Pontuacao!$A$29:$A$31,MATCH(MAX(S47:U47),S47:U47,0))))</f>
        <v>Microsoft Azure</v>
      </c>
      <c r="W47" s="43" t="str">
        <f aca="false">IF(OR(V47="",V47=$B$4,ABS(Q47-$B$12)&lt;0.000000001),"",ABS(Q47-$B$12))</f>
        <v/>
      </c>
    </row>
    <row r="48" customFormat="false" ht="15" hidden="false" customHeight="true" outlineLevel="0" collapsed="false">
      <c r="A48" s="60" t="n">
        <f aca="false">(ROW()-17)*$B$6</f>
        <v>0.155</v>
      </c>
      <c r="B48" s="43" t="n">
        <f aca="false">IFERROR(SUMPRODUCT(Normalizacao!$AL$5:$AL$17,Pesos_Indicadores!$I$5:$I$17,((Pesos_Indicadores!$B$5:$B$17=$A$10)*A48+(Pesos_Indicadores!$B$5:$B$17&lt;&gt;$A$10)*Pesos_Indicadores!$G$5:$G$17*(1-A48)/(1-$B$10))),0)</f>
        <v>0.9805</v>
      </c>
      <c r="C48" s="60" t="n">
        <f aca="false">IF(B48=0,"",IFERROR(SUMPRODUCT(Normalizacao!$AL$5:$AL$17,Pesos_Indicadores!$I$5:$I$17,((Pesos_Indicadores!$B$5:$B$17=$A$10)*A48+(Pesos_Indicadores!$B$5:$B$17&lt;&gt;$A$10)*Pesos_Indicadores!$G$5:$G$17*(1-A48)/(1-$B$10)),Normalizacao!$AI$5:$AI$17)/B48,""))</f>
        <v>0.737931570662239</v>
      </c>
      <c r="D48" s="60" t="n">
        <f aca="false">IF(B48=0,"",IFERROR(SUMPRODUCT(Normalizacao!$AL$5:$AL$17,Pesos_Indicadores!$I$5:$I$17,((Pesos_Indicadores!$B$5:$B$17=$A$10)*A48+(Pesos_Indicadores!$B$5:$B$17&lt;&gt;$A$10)*Pesos_Indicadores!$G$5:$G$17*(1-A48)/(1-$B$10)),Normalizacao!$AJ$5:$AJ$17)/B48,""))</f>
        <v>0.778460135689422</v>
      </c>
      <c r="E48" s="60" t="n">
        <f aca="false">IF(B48=0,"",IFERROR(SUMPRODUCT(Normalizacao!$AL$5:$AL$17,Pesos_Indicadores!$I$5:$I$17,((Pesos_Indicadores!$B$5:$B$17=$A$10)*A48+(Pesos_Indicadores!$B$5:$B$17&lt;&gt;$A$10)*Pesos_Indicadores!$G$5:$G$17*(1-A48)/(1-$B$10)),Normalizacao!$AK$5:$AK$17)/B48,""))</f>
        <v>0.827755653414163</v>
      </c>
      <c r="F48" s="17" t="str">
        <f aca="false">IF(C48="","",IF(INDEX(C48:E48,$B$5)&gt;=MAX(C48:E48),$B$4,INDEX(Pontuacao!$A$29:$A$31,MATCH(MAX(C48:E48),C48:E48,0))))</f>
        <v>Microsoft Azure</v>
      </c>
      <c r="G48" s="43" t="str">
        <f aca="false">IF(OR(F48="",F48=$B$4,ABS(A48-$B$10)&lt;0.000000001),"",ABS(A48-$B$10))</f>
        <v/>
      </c>
      <c r="I48" s="60" t="n">
        <f aca="false">(ROW()-17)*$B$6</f>
        <v>0.155</v>
      </c>
      <c r="J48" s="43" t="n">
        <f aca="false">IFERROR(SUMPRODUCT(Normalizacao!$AL$5:$AL$17,Pesos_Indicadores!$I$5:$I$17,((Pesos_Indicadores!$B$5:$B$17=$A$11)*I48+(Pesos_Indicadores!$B$5:$B$17&lt;&gt;$A$11)*Pesos_Indicadores!$G$5:$G$17*(1-I48)/(1-$B$11))),0)</f>
        <v>0.964230769230769</v>
      </c>
      <c r="K48" s="60" t="n">
        <f aca="false">IF(J48=0,"",IFERROR(SUMPRODUCT(Normalizacao!$AL$5:$AL$17,Pesos_Indicadores!$I$5:$I$17,((Pesos_Indicadores!$B$5:$B$17=$A$11)*I48+(Pesos_Indicadores!$B$5:$B$17&lt;&gt;$A$11)*Pesos_Indicadores!$G$5:$G$17*(1-I48)/(1-$B$11)),Normalizacao!$AI$5:$AI$17)/J48,""))</f>
        <v>0.752000126191287</v>
      </c>
      <c r="L48" s="60" t="n">
        <f aca="false">IF(J48=0,"",IFERROR(SUMPRODUCT(Normalizacao!$AL$5:$AL$17,Pesos_Indicadores!$I$5:$I$17,((Pesos_Indicadores!$B$5:$B$17=$A$11)*I48+(Pesos_Indicadores!$B$5:$B$17&lt;&gt;$A$11)*Pesos_Indicadores!$G$5:$G$17*(1-I48)/(1-$B$11)),Normalizacao!$AJ$5:$AJ$17)/J48,""))</f>
        <v>0.774467527878462</v>
      </c>
      <c r="M48" s="60" t="n">
        <f aca="false">IF(J48=0,"",IFERROR(SUMPRODUCT(Normalizacao!$AL$5:$AL$17,Pesos_Indicadores!$I$5:$I$17,((Pesos_Indicadores!$B$5:$B$17=$A$11)*I48+(Pesos_Indicadores!$B$5:$B$17&lt;&gt;$A$11)*Pesos_Indicadores!$G$5:$G$17*(1-I48)/(1-$B$11)),Normalizacao!$AK$5:$AK$17)/J48,""))</f>
        <v>0.824184721648272</v>
      </c>
      <c r="N48" s="17" t="str">
        <f aca="false">IF(K48="","",IF(INDEX(K48:M48,$B$5)&gt;=MAX(K48:M48),$B$4,INDEX(Pontuacao!$A$29:$A$31,MATCH(MAX(K48:M48),K48:M48,0))))</f>
        <v>Microsoft Azure</v>
      </c>
      <c r="O48" s="43" t="str">
        <f aca="false">IF(OR(N48="",N48=$B$4,ABS(I48-$B$11)&lt;0.000000001),"",ABS(I48-$B$11))</f>
        <v/>
      </c>
      <c r="Q48" s="60" t="n">
        <f aca="false">(ROW()-17)*$B$6</f>
        <v>0.155</v>
      </c>
      <c r="R48" s="43" t="n">
        <f aca="false">IFERROR(SUMPRODUCT(Normalizacao!$AL$5:$AL$17,Pesos_Indicadores!$I$5:$I$17,((Pesos_Indicadores!$B$5:$B$17=$A$12)*Q48+(Pesos_Indicadores!$B$5:$B$17&lt;&gt;$A$12)*Pesos_Indicadores!$G$5:$G$17*(1-Q48)/(1-$B$12))),0)</f>
        <v>0.9025</v>
      </c>
      <c r="S48" s="60" t="n">
        <f aca="false">IF(R48=0,"",IFERROR(SUMPRODUCT(Normalizacao!$AL$5:$AL$17,Pesos_Indicadores!$I$5:$I$17,((Pesos_Indicadores!$B$5:$B$17=$A$12)*Q48+(Pesos_Indicadores!$B$5:$B$17&lt;&gt;$A$12)*Pesos_Indicadores!$G$5:$G$17*(1-Q48)/(1-$B$12)),Normalizacao!$AI$5:$AI$17)/R48,""))</f>
        <v>0.730639924060422</v>
      </c>
      <c r="T48" s="60" t="n">
        <f aca="false">IF(R48=0,"",IFERROR(SUMPRODUCT(Normalizacao!$AL$5:$AL$17,Pesos_Indicadores!$I$5:$I$17,((Pesos_Indicadores!$B$5:$B$17=$A$12)*Q48+(Pesos_Indicadores!$B$5:$B$17&lt;&gt;$A$12)*Pesos_Indicadores!$G$5:$G$17*(1-Q48)/(1-$B$12)),Normalizacao!$AJ$5:$AJ$17)/R48,""))</f>
        <v>0.850660755148741</v>
      </c>
      <c r="U48" s="60" t="n">
        <f aca="false">IF(R48=0,"",IFERROR(SUMPRODUCT(Normalizacao!$AL$5:$AL$17,Pesos_Indicadores!$I$5:$I$17,((Pesos_Indicadores!$B$5:$B$17=$A$12)*Q48+(Pesos_Indicadores!$B$5:$B$17&lt;&gt;$A$12)*Pesos_Indicadores!$G$5:$G$17*(1-Q48)/(1-$B$12)),Normalizacao!$AK$5:$AK$17)/R48,""))</f>
        <v>0.863761159703228</v>
      </c>
      <c r="V48" s="17" t="str">
        <f aca="false">IF(S48="","",IF(INDEX(S48:U48,$B$5)&gt;=MAX(S48:U48),$B$4,INDEX(Pontuacao!$A$29:$A$31,MATCH(MAX(S48:U48),S48:U48,0))))</f>
        <v>Microsoft Azure</v>
      </c>
      <c r="W48" s="43" t="str">
        <f aca="false">IF(OR(V48="",V48=$B$4,ABS(Q48-$B$12)&lt;0.000000001),"",ABS(Q48-$B$12))</f>
        <v/>
      </c>
    </row>
    <row r="49" customFormat="false" ht="15" hidden="false" customHeight="true" outlineLevel="0" collapsed="false">
      <c r="A49" s="60" t="n">
        <f aca="false">(ROW()-17)*$B$6</f>
        <v>0.16</v>
      </c>
      <c r="B49" s="43" t="n">
        <f aca="false">IFERROR(SUMPRODUCT(Normalizacao!$AL$5:$AL$17,Pesos_Indicadores!$I$5:$I$17,((Pesos_Indicadores!$B$5:$B$17=$A$10)*A49+(Pesos_Indicadores!$B$5:$B$17&lt;&gt;$A$10)*Pesos_Indicadores!$G$5:$G$17*(1-A49)/(1-$B$10))),0)</f>
        <v>0.980615384615385</v>
      </c>
      <c r="C49" s="60" t="n">
        <f aca="false">IF(B49=0,"",IFERROR(SUMPRODUCT(Normalizacao!$AL$5:$AL$17,Pesos_Indicadores!$I$5:$I$17,((Pesos_Indicadores!$B$5:$B$17=$A$10)*A49+(Pesos_Indicadores!$B$5:$B$17&lt;&gt;$A$10)*Pesos_Indicadores!$G$5:$G$17*(1-A49)/(1-$B$10)),Normalizacao!$AI$5:$AI$17)/B49,""))</f>
        <v>0.737290688214923</v>
      </c>
      <c r="D49" s="60" t="n">
        <f aca="false">IF(B49=0,"",IFERROR(SUMPRODUCT(Normalizacao!$AL$5:$AL$17,Pesos_Indicadores!$I$5:$I$17,((Pesos_Indicadores!$B$5:$B$17=$A$10)*A49+(Pesos_Indicadores!$B$5:$B$17&lt;&gt;$A$10)*Pesos_Indicadores!$G$5:$G$17*(1-A49)/(1-$B$10)),Normalizacao!$AJ$5:$AJ$17)/B49,""))</f>
        <v>0.77912170366025</v>
      </c>
      <c r="E49" s="60" t="n">
        <f aca="false">IF(B49=0,"",IFERROR(SUMPRODUCT(Normalizacao!$AL$5:$AL$17,Pesos_Indicadores!$I$5:$I$17,((Pesos_Indicadores!$B$5:$B$17=$A$10)*A49+(Pesos_Indicadores!$B$5:$B$17&lt;&gt;$A$10)*Pesos_Indicadores!$G$5:$G$17*(1-A49)/(1-$B$10)),Normalizacao!$AK$5:$AK$17)/B49,""))</f>
        <v>0.828151937801248</v>
      </c>
      <c r="F49" s="17" t="str">
        <f aca="false">IF(C49="","",IF(INDEX(C49:E49,$B$5)&gt;=MAX(C49:E49),$B$4,INDEX(Pontuacao!$A$29:$A$31,MATCH(MAX(C49:E49),C49:E49,0))))</f>
        <v>Microsoft Azure</v>
      </c>
      <c r="G49" s="43" t="str">
        <f aca="false">IF(OR(F49="",F49=$B$4,ABS(A49-$B$10)&lt;0.000000001),"",ABS(A49-$B$10))</f>
        <v/>
      </c>
      <c r="I49" s="60" t="n">
        <f aca="false">(ROW()-17)*$B$6</f>
        <v>0.16</v>
      </c>
      <c r="J49" s="43" t="n">
        <f aca="false">IFERROR(SUMPRODUCT(Normalizacao!$AL$5:$AL$17,Pesos_Indicadores!$I$5:$I$17,((Pesos_Indicadores!$B$5:$B$17=$A$11)*I49+(Pesos_Indicadores!$B$5:$B$17&lt;&gt;$A$11)*Pesos_Indicadores!$G$5:$G$17*(1-I49)/(1-$B$11))),0)</f>
        <v>0.963076923076923</v>
      </c>
      <c r="K49" s="60" t="n">
        <f aca="false">IF(J49=0,"",IFERROR(SUMPRODUCT(Normalizacao!$AL$5:$AL$17,Pesos_Indicadores!$I$5:$I$17,((Pesos_Indicadores!$B$5:$B$17=$A$11)*I49+(Pesos_Indicadores!$B$5:$B$17&lt;&gt;$A$11)*Pesos_Indicadores!$G$5:$G$17*(1-I49)/(1-$B$11)),Normalizacao!$AI$5:$AI$17)/J49,""))</f>
        <v>0.752463289857509</v>
      </c>
      <c r="L49" s="60" t="n">
        <f aca="false">IF(J49=0,"",IFERROR(SUMPRODUCT(Normalizacao!$AL$5:$AL$17,Pesos_Indicadores!$I$5:$I$17,((Pesos_Indicadores!$B$5:$B$17=$A$11)*I49+(Pesos_Indicadores!$B$5:$B$17&lt;&gt;$A$11)*Pesos_Indicadores!$G$5:$G$17*(1-I49)/(1-$B$11)),Normalizacao!$AJ$5:$AJ$17)/J49,""))</f>
        <v>0.774824506875955</v>
      </c>
      <c r="M49" s="60" t="n">
        <f aca="false">IF(J49=0,"",IFERROR(SUMPRODUCT(Normalizacao!$AL$5:$AL$17,Pesos_Indicadores!$I$5:$I$17,((Pesos_Indicadores!$B$5:$B$17=$A$11)*I49+(Pesos_Indicadores!$B$5:$B$17&lt;&gt;$A$11)*Pesos_Indicadores!$G$5:$G$17*(1-I49)/(1-$B$11)),Normalizacao!$AK$5:$AK$17)/J49,""))</f>
        <v>0.824305027347783</v>
      </c>
      <c r="N49" s="17" t="str">
        <f aca="false">IF(K49="","",IF(INDEX(K49:M49,$B$5)&gt;=MAX(K49:M49),$B$4,INDEX(Pontuacao!$A$29:$A$31,MATCH(MAX(K49:M49),K49:M49,0))))</f>
        <v>Microsoft Azure</v>
      </c>
      <c r="O49" s="43" t="str">
        <f aca="false">IF(OR(N49="",N49=$B$4,ABS(I49-$B$11)&lt;0.000000001),"",ABS(I49-$B$11))</f>
        <v/>
      </c>
      <c r="Q49" s="60" t="n">
        <f aca="false">(ROW()-17)*$B$6</f>
        <v>0.16</v>
      </c>
      <c r="R49" s="43" t="n">
        <f aca="false">IFERROR(SUMPRODUCT(Normalizacao!$AL$5:$AL$17,Pesos_Indicadores!$I$5:$I$17,((Pesos_Indicadores!$B$5:$B$17=$A$12)*Q49+(Pesos_Indicadores!$B$5:$B$17&lt;&gt;$A$12)*Pesos_Indicadores!$G$5:$G$17*(1-Q49)/(1-$B$12))),0)</f>
        <v>0.903076923076923</v>
      </c>
      <c r="S49" s="60" t="n">
        <f aca="false">IF(R49=0,"",IFERROR(SUMPRODUCT(Normalizacao!$AL$5:$AL$17,Pesos_Indicadores!$I$5:$I$17,((Pesos_Indicadores!$B$5:$B$17=$A$12)*Q49+(Pesos_Indicadores!$B$5:$B$17&lt;&gt;$A$12)*Pesos_Indicadores!$G$5:$G$17*(1-Q49)/(1-$B$12)),Normalizacao!$AI$5:$AI$17)/R49,""))</f>
        <v>0.730766775560485</v>
      </c>
      <c r="T49" s="60" t="n">
        <f aca="false">IF(R49=0,"",IFERROR(SUMPRODUCT(Normalizacao!$AL$5:$AL$17,Pesos_Indicadores!$I$5:$I$17,((Pesos_Indicadores!$B$5:$B$17=$A$12)*Q49+(Pesos_Indicadores!$B$5:$B$17&lt;&gt;$A$12)*Pesos_Indicadores!$G$5:$G$17*(1-Q49)/(1-$B$12)),Normalizacao!$AJ$5:$AJ$17)/R49,""))</f>
        <v>0.850001203614547</v>
      </c>
      <c r="U49" s="60" t="n">
        <f aca="false">IF(R49=0,"",IFERROR(SUMPRODUCT(Normalizacao!$AL$5:$AL$17,Pesos_Indicadores!$I$5:$I$17,((Pesos_Indicadores!$B$5:$B$17=$A$12)*Q49+(Pesos_Indicadores!$B$5:$B$17&lt;&gt;$A$12)*Pesos_Indicadores!$G$5:$G$17*(1-Q49)/(1-$B$12)),Normalizacao!$AK$5:$AK$17)/R49,""))</f>
        <v>0.863425285245731</v>
      </c>
      <c r="V49" s="17" t="str">
        <f aca="false">IF(S49="","",IF(INDEX(S49:U49,$B$5)&gt;=MAX(S49:U49),$B$4,INDEX(Pontuacao!$A$29:$A$31,MATCH(MAX(S49:U49),S49:U49,0))))</f>
        <v>Microsoft Azure</v>
      </c>
      <c r="W49" s="43" t="str">
        <f aca="false">IF(OR(V49="",V49=$B$4,ABS(Q49-$B$12)&lt;0.000000001),"",ABS(Q49-$B$12))</f>
        <v/>
      </c>
    </row>
    <row r="50" customFormat="false" ht="15" hidden="false" customHeight="true" outlineLevel="0" collapsed="false">
      <c r="A50" s="60" t="n">
        <f aca="false">(ROW()-17)*$B$6</f>
        <v>0.165</v>
      </c>
      <c r="B50" s="43" t="n">
        <f aca="false">IFERROR(SUMPRODUCT(Normalizacao!$AL$5:$AL$17,Pesos_Indicadores!$I$5:$I$17,((Pesos_Indicadores!$B$5:$B$17=$A$10)*A50+(Pesos_Indicadores!$B$5:$B$17&lt;&gt;$A$10)*Pesos_Indicadores!$G$5:$G$17*(1-A50)/(1-$B$10))),0)</f>
        <v>0.980730769230769</v>
      </c>
      <c r="C50" s="60" t="n">
        <f aca="false">IF(B50=0,"",IFERROR(SUMPRODUCT(Normalizacao!$AL$5:$AL$17,Pesos_Indicadores!$I$5:$I$17,((Pesos_Indicadores!$B$5:$B$17=$A$10)*A50+(Pesos_Indicadores!$B$5:$B$17&lt;&gt;$A$10)*Pesos_Indicadores!$G$5:$G$17*(1-A50)/(1-$B$10)),Normalizacao!$AI$5:$AI$17)/B50,""))</f>
        <v>0.736649956569392</v>
      </c>
      <c r="D50" s="60" t="n">
        <f aca="false">IF(B50=0,"",IFERROR(SUMPRODUCT(Normalizacao!$AL$5:$AL$17,Pesos_Indicadores!$I$5:$I$17,((Pesos_Indicadores!$B$5:$B$17=$A$10)*A50+(Pesos_Indicadores!$B$5:$B$17&lt;&gt;$A$10)*Pesos_Indicadores!$G$5:$G$17*(1-A50)/(1-$B$10)),Normalizacao!$AJ$5:$AJ$17)/B50,""))</f>
        <v>0.779783115961922</v>
      </c>
      <c r="E50" s="60" t="n">
        <f aca="false">IF(B50=0,"",IFERROR(SUMPRODUCT(Normalizacao!$AL$5:$AL$17,Pesos_Indicadores!$I$5:$I$17,((Pesos_Indicadores!$B$5:$B$17=$A$10)*A50+(Pesos_Indicadores!$B$5:$B$17&lt;&gt;$A$10)*Pesos_Indicadores!$G$5:$G$17*(1-A50)/(1-$B$10)),Normalizacao!$AK$5:$AK$17)/B50,""))</f>
        <v>0.828548128941291</v>
      </c>
      <c r="F50" s="17" t="str">
        <f aca="false">IF(C50="","",IF(INDEX(C50:E50,$B$5)&gt;=MAX(C50:E50),$B$4,INDEX(Pontuacao!$A$29:$A$31,MATCH(MAX(C50:E50),C50:E50,0))))</f>
        <v>Microsoft Azure</v>
      </c>
      <c r="G50" s="43" t="str">
        <f aca="false">IF(OR(F50="",F50=$B$4,ABS(A50-$B$10)&lt;0.000000001),"",ABS(A50-$B$10))</f>
        <v/>
      </c>
      <c r="I50" s="60" t="n">
        <f aca="false">(ROW()-17)*$B$6</f>
        <v>0.165</v>
      </c>
      <c r="J50" s="43" t="n">
        <f aca="false">IFERROR(SUMPRODUCT(Normalizacao!$AL$5:$AL$17,Pesos_Indicadores!$I$5:$I$17,((Pesos_Indicadores!$B$5:$B$17=$A$11)*I50+(Pesos_Indicadores!$B$5:$B$17&lt;&gt;$A$11)*Pesos_Indicadores!$G$5:$G$17*(1-I50)/(1-$B$11))),0)</f>
        <v>0.961923076923077</v>
      </c>
      <c r="K50" s="60" t="n">
        <f aca="false">IF(J50=0,"",IFERROR(SUMPRODUCT(Normalizacao!$AL$5:$AL$17,Pesos_Indicadores!$I$5:$I$17,((Pesos_Indicadores!$B$5:$B$17=$A$11)*I50+(Pesos_Indicadores!$B$5:$B$17&lt;&gt;$A$11)*Pesos_Indicadores!$G$5:$G$17*(1-I50)/(1-$B$11)),Normalizacao!$AI$5:$AI$17)/J50,""))</f>
        <v>0.752927564672072</v>
      </c>
      <c r="L50" s="60" t="n">
        <f aca="false">IF(J50=0,"",IFERROR(SUMPRODUCT(Normalizacao!$AL$5:$AL$17,Pesos_Indicadores!$I$5:$I$17,((Pesos_Indicadores!$B$5:$B$17=$A$11)*I50+(Pesos_Indicadores!$B$5:$B$17&lt;&gt;$A$11)*Pesos_Indicadores!$G$5:$G$17*(1-I50)/(1-$B$11)),Normalizacao!$AJ$5:$AJ$17)/J50,""))</f>
        <v>0.775182342280479</v>
      </c>
      <c r="M50" s="60" t="n">
        <f aca="false">IF(J50=0,"",IFERROR(SUMPRODUCT(Normalizacao!$AL$5:$AL$17,Pesos_Indicadores!$I$5:$I$17,((Pesos_Indicadores!$B$5:$B$17=$A$11)*I50+(Pesos_Indicadores!$B$5:$B$17&lt;&gt;$A$11)*Pesos_Indicadores!$G$5:$G$17*(1-I50)/(1-$B$11)),Normalizacao!$AK$5:$AK$17)/J50,""))</f>
        <v>0.824425621665525</v>
      </c>
      <c r="N50" s="17" t="str">
        <f aca="false">IF(K50="","",IF(INDEX(K50:M50,$B$5)&gt;=MAX(K50:M50),$B$4,INDEX(Pontuacao!$A$29:$A$31,MATCH(MAX(K50:M50),K50:M50,0))))</f>
        <v>Microsoft Azure</v>
      </c>
      <c r="O50" s="43" t="str">
        <f aca="false">IF(OR(N50="",N50=$B$4,ABS(I50-$B$11)&lt;0.000000001),"",ABS(I50-$B$11))</f>
        <v/>
      </c>
      <c r="Q50" s="60" t="n">
        <f aca="false">(ROW()-17)*$B$6</f>
        <v>0.165</v>
      </c>
      <c r="R50" s="43" t="n">
        <f aca="false">IFERROR(SUMPRODUCT(Normalizacao!$AL$5:$AL$17,Pesos_Indicadores!$I$5:$I$17,((Pesos_Indicadores!$B$5:$B$17=$A$12)*Q50+(Pesos_Indicadores!$B$5:$B$17&lt;&gt;$A$12)*Pesos_Indicadores!$G$5:$G$17*(1-Q50)/(1-$B$12))),0)</f>
        <v>0.903653846153846</v>
      </c>
      <c r="S50" s="60" t="n">
        <f aca="false">IF(R50=0,"",IFERROR(SUMPRODUCT(Normalizacao!$AL$5:$AL$17,Pesos_Indicadores!$I$5:$I$17,((Pesos_Indicadores!$B$5:$B$17=$A$12)*Q50+(Pesos_Indicadores!$B$5:$B$17&lt;&gt;$A$12)*Pesos_Indicadores!$G$5:$G$17*(1-Q50)/(1-$B$12)),Normalizacao!$AI$5:$AI$17)/R50,""))</f>
        <v>0.730893465088</v>
      </c>
      <c r="T50" s="60" t="n">
        <f aca="false">IF(R50=0,"",IFERROR(SUMPRODUCT(Normalizacao!$AL$5:$AL$17,Pesos_Indicadores!$I$5:$I$17,((Pesos_Indicadores!$B$5:$B$17=$A$12)*Q50+(Pesos_Indicadores!$B$5:$B$17&lt;&gt;$A$12)*Pesos_Indicadores!$G$5:$G$17*(1-Q50)/(1-$B$12)),Normalizacao!$AJ$5:$AJ$17)/R50,""))</f>
        <v>0.849342494240218</v>
      </c>
      <c r="U50" s="60" t="n">
        <f aca="false">IF(R50=0,"",IFERROR(SUMPRODUCT(Normalizacao!$AL$5:$AL$17,Pesos_Indicadores!$I$5:$I$17,((Pesos_Indicadores!$B$5:$B$17=$A$12)*Q50+(Pesos_Indicadores!$B$5:$B$17&lt;&gt;$A$12)*Pesos_Indicadores!$G$5:$G$17*(1-Q50)/(1-$B$12)),Normalizacao!$AK$5:$AK$17)/R50,""))</f>
        <v>0.863089839655385</v>
      </c>
      <c r="V50" s="17" t="str">
        <f aca="false">IF(S50="","",IF(INDEX(S50:U50,$B$5)&gt;=MAX(S50:U50),$B$4,INDEX(Pontuacao!$A$29:$A$31,MATCH(MAX(S50:U50),S50:U50,0))))</f>
        <v>Microsoft Azure</v>
      </c>
      <c r="W50" s="43" t="str">
        <f aca="false">IF(OR(V50="",V50=$B$4,ABS(Q50-$B$12)&lt;0.000000001),"",ABS(Q50-$B$12))</f>
        <v/>
      </c>
    </row>
    <row r="51" customFormat="false" ht="15" hidden="false" customHeight="true" outlineLevel="0" collapsed="false">
      <c r="A51" s="60" t="n">
        <f aca="false">(ROW()-17)*$B$6</f>
        <v>0.17</v>
      </c>
      <c r="B51" s="43" t="n">
        <f aca="false">IFERROR(SUMPRODUCT(Normalizacao!$AL$5:$AL$17,Pesos_Indicadores!$I$5:$I$17,((Pesos_Indicadores!$B$5:$B$17=$A$10)*A51+(Pesos_Indicadores!$B$5:$B$17&lt;&gt;$A$10)*Pesos_Indicadores!$G$5:$G$17*(1-A51)/(1-$B$10))),0)</f>
        <v>0.980846153846154</v>
      </c>
      <c r="C51" s="60" t="n">
        <f aca="false">IF(B51=0,"",IFERROR(SUMPRODUCT(Normalizacao!$AL$5:$AL$17,Pesos_Indicadores!$I$5:$I$17,((Pesos_Indicadores!$B$5:$B$17=$A$10)*A51+(Pesos_Indicadores!$B$5:$B$17&lt;&gt;$A$10)*Pesos_Indicadores!$G$5:$G$17*(1-A51)/(1-$B$10)),Normalizacao!$AI$5:$AI$17)/B51,""))</f>
        <v>0.736009375672425</v>
      </c>
      <c r="D51" s="60" t="n">
        <f aca="false">IF(B51=0,"",IFERROR(SUMPRODUCT(Normalizacao!$AL$5:$AL$17,Pesos_Indicadores!$I$5:$I$17,((Pesos_Indicadores!$B$5:$B$17=$A$10)*A51+(Pesos_Indicadores!$B$5:$B$17&lt;&gt;$A$10)*Pesos_Indicadores!$G$5:$G$17*(1-A51)/(1-$B$10)),Normalizacao!$AJ$5:$AJ$17)/B51,""))</f>
        <v>0.780444372649375</v>
      </c>
      <c r="E51" s="60" t="n">
        <f aca="false">IF(B51=0,"",IFERROR(SUMPRODUCT(Normalizacao!$AL$5:$AL$17,Pesos_Indicadores!$I$5:$I$17,((Pesos_Indicadores!$B$5:$B$17=$A$10)*A51+(Pesos_Indicadores!$B$5:$B$17&lt;&gt;$A$10)*Pesos_Indicadores!$G$5:$G$17*(1-A51)/(1-$B$10)),Normalizacao!$AK$5:$AK$17)/B51,""))</f>
        <v>0.828944226867201</v>
      </c>
      <c r="F51" s="17" t="str">
        <f aca="false">IF(C51="","",IF(INDEX(C51:E51,$B$5)&gt;=MAX(C51:E51),$B$4,INDEX(Pontuacao!$A$29:$A$31,MATCH(MAX(C51:E51),C51:E51,0))))</f>
        <v>Microsoft Azure</v>
      </c>
      <c r="G51" s="43" t="str">
        <f aca="false">IF(OR(F51="",F51=$B$4,ABS(A51-$B$10)&lt;0.000000001),"",ABS(A51-$B$10))</f>
        <v/>
      </c>
      <c r="I51" s="60" t="n">
        <f aca="false">(ROW()-17)*$B$6</f>
        <v>0.17</v>
      </c>
      <c r="J51" s="43" t="n">
        <f aca="false">IFERROR(SUMPRODUCT(Normalizacao!$AL$5:$AL$17,Pesos_Indicadores!$I$5:$I$17,((Pesos_Indicadores!$B$5:$B$17=$A$11)*I51+(Pesos_Indicadores!$B$5:$B$17&lt;&gt;$A$11)*Pesos_Indicadores!$G$5:$G$17*(1-I51)/(1-$B$11))),0)</f>
        <v>0.960769230769231</v>
      </c>
      <c r="K51" s="60" t="n">
        <f aca="false">IF(J51=0,"",IFERROR(SUMPRODUCT(Normalizacao!$AL$5:$AL$17,Pesos_Indicadores!$I$5:$I$17,((Pesos_Indicadores!$B$5:$B$17=$A$11)*I51+(Pesos_Indicadores!$B$5:$B$17&lt;&gt;$A$11)*Pesos_Indicadores!$G$5:$G$17*(1-I51)/(1-$B$11)),Normalizacao!$AI$5:$AI$17)/J51,""))</f>
        <v>0.75339295463831</v>
      </c>
      <c r="L51" s="60" t="n">
        <f aca="false">IF(J51=0,"",IFERROR(SUMPRODUCT(Normalizacao!$AL$5:$AL$17,Pesos_Indicadores!$I$5:$I$17,((Pesos_Indicadores!$B$5:$B$17=$A$11)*I51+(Pesos_Indicadores!$B$5:$B$17&lt;&gt;$A$11)*Pesos_Indicadores!$G$5:$G$17*(1-I51)/(1-$B$11)),Normalizacao!$AJ$5:$AJ$17)/J51,""))</f>
        <v>0.775541037177568</v>
      </c>
      <c r="M51" s="60" t="n">
        <f aca="false">IF(J51=0,"",IFERROR(SUMPRODUCT(Normalizacao!$AL$5:$AL$17,Pesos_Indicadores!$I$5:$I$17,((Pesos_Indicadores!$B$5:$B$17=$A$11)*I51+(Pesos_Indicadores!$B$5:$B$17&lt;&gt;$A$11)*Pesos_Indicadores!$G$5:$G$17*(1-I51)/(1-$B$11)),Normalizacao!$AK$5:$AK$17)/J51,""))</f>
        <v>0.824546505641357</v>
      </c>
      <c r="N51" s="17" t="str">
        <f aca="false">IF(K51="","",IF(INDEX(K51:M51,$B$5)&gt;=MAX(K51:M51),$B$4,INDEX(Pontuacao!$A$29:$A$31,MATCH(MAX(K51:M51),K51:M51,0))))</f>
        <v>Microsoft Azure</v>
      </c>
      <c r="O51" s="43" t="str">
        <f aca="false">IF(OR(N51="",N51=$B$4,ABS(I51-$B$11)&lt;0.000000001),"",ABS(I51-$B$11))</f>
        <v/>
      </c>
      <c r="Q51" s="60" t="n">
        <f aca="false">(ROW()-17)*$B$6</f>
        <v>0.17</v>
      </c>
      <c r="R51" s="43" t="n">
        <f aca="false">IFERROR(SUMPRODUCT(Normalizacao!$AL$5:$AL$17,Pesos_Indicadores!$I$5:$I$17,((Pesos_Indicadores!$B$5:$B$17=$A$12)*Q51+(Pesos_Indicadores!$B$5:$B$17&lt;&gt;$A$12)*Pesos_Indicadores!$G$5:$G$17*(1-Q51)/(1-$B$12))),0)</f>
        <v>0.904230769230769</v>
      </c>
      <c r="S51" s="60" t="n">
        <f aca="false">IF(R51=0,"",IFERROR(SUMPRODUCT(Normalizacao!$AL$5:$AL$17,Pesos_Indicadores!$I$5:$I$17,((Pesos_Indicadores!$B$5:$B$17=$A$12)*Q51+(Pesos_Indicadores!$B$5:$B$17&lt;&gt;$A$12)*Pesos_Indicadores!$G$5:$G$17*(1-Q51)/(1-$B$12)),Normalizacao!$AI$5:$AI$17)/R51,""))</f>
        <v>0.731019992952996</v>
      </c>
      <c r="T51" s="60" t="n">
        <f aca="false">IF(R51=0,"",IFERROR(SUMPRODUCT(Normalizacao!$AL$5:$AL$17,Pesos_Indicadores!$I$5:$I$17,((Pesos_Indicadores!$B$5:$B$17=$A$12)*Q51+(Pesos_Indicadores!$B$5:$B$17&lt;&gt;$A$12)*Pesos_Indicadores!$G$5:$G$17*(1-Q51)/(1-$B$12)),Normalizacao!$AJ$5:$AJ$17)/R51,""))</f>
        <v>0.848684625413792</v>
      </c>
      <c r="U51" s="60" t="n">
        <f aca="false">IF(R51=0,"",IFERROR(SUMPRODUCT(Normalizacao!$AL$5:$AL$17,Pesos_Indicadores!$I$5:$I$17,((Pesos_Indicadores!$B$5:$B$17=$A$12)*Q51+(Pesos_Indicadores!$B$5:$B$17&lt;&gt;$A$12)*Pesos_Indicadores!$G$5:$G$17*(1-Q51)/(1-$B$12)),Normalizacao!$AK$5:$AK$17)/R51,""))</f>
        <v>0.862754822111305</v>
      </c>
      <c r="V51" s="17" t="str">
        <f aca="false">IF(S51="","",IF(INDEX(S51:U51,$B$5)&gt;=MAX(S51:U51),$B$4,INDEX(Pontuacao!$A$29:$A$31,MATCH(MAX(S51:U51),S51:U51,0))))</f>
        <v>Microsoft Azure</v>
      </c>
      <c r="W51" s="43" t="str">
        <f aca="false">IF(OR(V51="",V51=$B$4,ABS(Q51-$B$12)&lt;0.000000001),"",ABS(Q51-$B$12))</f>
        <v/>
      </c>
    </row>
    <row r="52" customFormat="false" ht="15" hidden="false" customHeight="true" outlineLevel="0" collapsed="false">
      <c r="A52" s="60" t="n">
        <f aca="false">(ROW()-17)*$B$6</f>
        <v>0.175</v>
      </c>
      <c r="B52" s="43" t="n">
        <f aca="false">IFERROR(SUMPRODUCT(Normalizacao!$AL$5:$AL$17,Pesos_Indicadores!$I$5:$I$17,((Pesos_Indicadores!$B$5:$B$17=$A$10)*A52+(Pesos_Indicadores!$B$5:$B$17&lt;&gt;$A$10)*Pesos_Indicadores!$G$5:$G$17*(1-A52)/(1-$B$10))),0)</f>
        <v>0.980961538461539</v>
      </c>
      <c r="C52" s="60" t="n">
        <f aca="false">IF(B52=0,"",IFERROR(SUMPRODUCT(Normalizacao!$AL$5:$AL$17,Pesos_Indicadores!$I$5:$I$17,((Pesos_Indicadores!$B$5:$B$17=$A$10)*A52+(Pesos_Indicadores!$B$5:$B$17&lt;&gt;$A$10)*Pesos_Indicadores!$G$5:$G$17*(1-A52)/(1-$B$10)),Normalizacao!$AI$5:$AI$17)/B52,""))</f>
        <v>0.735368945470826</v>
      </c>
      <c r="D52" s="60" t="n">
        <f aca="false">IF(B52=0,"",IFERROR(SUMPRODUCT(Normalizacao!$AL$5:$AL$17,Pesos_Indicadores!$I$5:$I$17,((Pesos_Indicadores!$B$5:$B$17=$A$10)*A52+(Pesos_Indicadores!$B$5:$B$17&lt;&gt;$A$10)*Pesos_Indicadores!$G$5:$G$17*(1-A52)/(1-$B$10)),Normalizacao!$AJ$5:$AJ$17)/B52,""))</f>
        <v>0.78110547377752</v>
      </c>
      <c r="E52" s="60" t="n">
        <f aca="false">IF(B52=0,"",IFERROR(SUMPRODUCT(Normalizacao!$AL$5:$AL$17,Pesos_Indicadores!$I$5:$I$17,((Pesos_Indicadores!$B$5:$B$17=$A$10)*A52+(Pesos_Indicadores!$B$5:$B$17&lt;&gt;$A$10)*Pesos_Indicadores!$G$5:$G$17*(1-A52)/(1-$B$10)),Normalizacao!$AK$5:$AK$17)/B52,""))</f>
        <v>0.829340231611869</v>
      </c>
      <c r="F52" s="17" t="str">
        <f aca="false">IF(C52="","",IF(INDEX(C52:E52,$B$5)&gt;=MAX(C52:E52),$B$4,INDEX(Pontuacao!$A$29:$A$31,MATCH(MAX(C52:E52),C52:E52,0))))</f>
        <v>Microsoft Azure</v>
      </c>
      <c r="G52" s="43" t="str">
        <f aca="false">IF(OR(F52="",F52=$B$4,ABS(A52-$B$10)&lt;0.000000001),"",ABS(A52-$B$10))</f>
        <v/>
      </c>
      <c r="I52" s="60" t="n">
        <f aca="false">(ROW()-17)*$B$6</f>
        <v>0.175</v>
      </c>
      <c r="J52" s="43" t="n">
        <f aca="false">IFERROR(SUMPRODUCT(Normalizacao!$AL$5:$AL$17,Pesos_Indicadores!$I$5:$I$17,((Pesos_Indicadores!$B$5:$B$17=$A$11)*I52+(Pesos_Indicadores!$B$5:$B$17&lt;&gt;$A$11)*Pesos_Indicadores!$G$5:$G$17*(1-I52)/(1-$B$11))),0)</f>
        <v>0.959615384615385</v>
      </c>
      <c r="K52" s="60" t="n">
        <f aca="false">IF(J52=0,"",IFERROR(SUMPRODUCT(Normalizacao!$AL$5:$AL$17,Pesos_Indicadores!$I$5:$I$17,((Pesos_Indicadores!$B$5:$B$17=$A$11)*I52+(Pesos_Indicadores!$B$5:$B$17&lt;&gt;$A$11)*Pesos_Indicadores!$G$5:$G$17*(1-I52)/(1-$B$11)),Normalizacao!$AI$5:$AI$17)/J52,""))</f>
        <v>0.753859463778816</v>
      </c>
      <c r="L52" s="60" t="n">
        <f aca="false">IF(J52=0,"",IFERROR(SUMPRODUCT(Normalizacao!$AL$5:$AL$17,Pesos_Indicadores!$I$5:$I$17,((Pesos_Indicadores!$B$5:$B$17=$A$11)*I52+(Pesos_Indicadores!$B$5:$B$17&lt;&gt;$A$11)*Pesos_Indicadores!$G$5:$G$17*(1-I52)/(1-$B$11)),Normalizacao!$AJ$5:$AJ$17)/J52,""))</f>
        <v>0.775900594667596</v>
      </c>
      <c r="M52" s="60" t="n">
        <f aca="false">IF(J52=0,"",IFERROR(SUMPRODUCT(Normalizacao!$AL$5:$AL$17,Pesos_Indicadores!$I$5:$I$17,((Pesos_Indicadores!$B$5:$B$17=$A$11)*I52+(Pesos_Indicadores!$B$5:$B$17&lt;&gt;$A$11)*Pesos_Indicadores!$G$5:$G$17*(1-I52)/(1-$B$11)),Normalizacao!$AK$5:$AK$17)/J52,""))</f>
        <v>0.824667680320136</v>
      </c>
      <c r="N52" s="17" t="str">
        <f aca="false">IF(K52="","",IF(INDEX(K52:M52,$B$5)&gt;=MAX(K52:M52),$B$4,INDEX(Pontuacao!$A$29:$A$31,MATCH(MAX(K52:M52),K52:M52,0))))</f>
        <v>Microsoft Azure</v>
      </c>
      <c r="O52" s="43" t="str">
        <f aca="false">IF(OR(N52="",N52=$B$4,ABS(I52-$B$11)&lt;0.000000001),"",ABS(I52-$B$11))</f>
        <v/>
      </c>
      <c r="Q52" s="60" t="n">
        <f aca="false">(ROW()-17)*$B$6</f>
        <v>0.175</v>
      </c>
      <c r="R52" s="43" t="n">
        <f aca="false">IFERROR(SUMPRODUCT(Normalizacao!$AL$5:$AL$17,Pesos_Indicadores!$I$5:$I$17,((Pesos_Indicadores!$B$5:$B$17=$A$12)*Q52+(Pesos_Indicadores!$B$5:$B$17&lt;&gt;$A$12)*Pesos_Indicadores!$G$5:$G$17*(1-Q52)/(1-$B$12))),0)</f>
        <v>0.904807692307692</v>
      </c>
      <c r="S52" s="60" t="n">
        <f aca="false">IF(R52=0,"",IFERROR(SUMPRODUCT(Normalizacao!$AL$5:$AL$17,Pesos_Indicadores!$I$5:$I$17,((Pesos_Indicadores!$B$5:$B$17=$A$12)*Q52+(Pesos_Indicadores!$B$5:$B$17&lt;&gt;$A$12)*Pesos_Indicadores!$G$5:$G$17*(1-Q52)/(1-$B$12)),Normalizacao!$AI$5:$AI$17)/R52,""))</f>
        <v>0.731146359464711</v>
      </c>
      <c r="T52" s="60" t="n">
        <f aca="false">IF(R52=0,"",IFERROR(SUMPRODUCT(Normalizacao!$AL$5:$AL$17,Pesos_Indicadores!$I$5:$I$17,((Pesos_Indicadores!$B$5:$B$17=$A$12)*Q52+(Pesos_Indicadores!$B$5:$B$17&lt;&gt;$A$12)*Pesos_Indicadores!$G$5:$G$17*(1-Q52)/(1-$B$12)),Normalizacao!$AJ$5:$AJ$17)/R52,""))</f>
        <v>0.848027595527422</v>
      </c>
      <c r="U52" s="60" t="n">
        <f aca="false">IF(R52=0,"",IFERROR(SUMPRODUCT(Normalizacao!$AL$5:$AL$17,Pesos_Indicadores!$I$5:$I$17,((Pesos_Indicadores!$B$5:$B$17=$A$12)*Q52+(Pesos_Indicadores!$B$5:$B$17&lt;&gt;$A$12)*Pesos_Indicadores!$G$5:$G$17*(1-Q52)/(1-$B$12)),Normalizacao!$AK$5:$AK$17)/R52,""))</f>
        <v>0.862420231794699</v>
      </c>
      <c r="V52" s="17" t="str">
        <f aca="false">IF(S52="","",IF(INDEX(S52:U52,$B$5)&gt;=MAX(S52:U52),$B$4,INDEX(Pontuacao!$A$29:$A$31,MATCH(MAX(S52:U52),S52:U52,0))))</f>
        <v>Microsoft Azure</v>
      </c>
      <c r="W52" s="43" t="str">
        <f aca="false">IF(OR(V52="",V52=$B$4,ABS(Q52-$B$12)&lt;0.000000001),"",ABS(Q52-$B$12))</f>
        <v/>
      </c>
    </row>
    <row r="53" customFormat="false" ht="15" hidden="false" customHeight="true" outlineLevel="0" collapsed="false">
      <c r="A53" s="60" t="n">
        <f aca="false">(ROW()-17)*$B$6</f>
        <v>0.18</v>
      </c>
      <c r="B53" s="43" t="n">
        <f aca="false">IFERROR(SUMPRODUCT(Normalizacao!$AL$5:$AL$17,Pesos_Indicadores!$I$5:$I$17,((Pesos_Indicadores!$B$5:$B$17=$A$10)*A53+(Pesos_Indicadores!$B$5:$B$17&lt;&gt;$A$10)*Pesos_Indicadores!$G$5:$G$17*(1-A53)/(1-$B$10))),0)</f>
        <v>0.981076923076923</v>
      </c>
      <c r="C53" s="60" t="n">
        <f aca="false">IF(B53=0,"",IFERROR(SUMPRODUCT(Normalizacao!$AL$5:$AL$17,Pesos_Indicadores!$I$5:$I$17,((Pesos_Indicadores!$B$5:$B$17=$A$10)*A53+(Pesos_Indicadores!$B$5:$B$17&lt;&gt;$A$10)*Pesos_Indicadores!$G$5:$G$17*(1-A53)/(1-$B$10)),Normalizacao!$AI$5:$AI$17)/B53,""))</f>
        <v>0.734728665911426</v>
      </c>
      <c r="D53" s="60" t="n">
        <f aca="false">IF(B53=0,"",IFERROR(SUMPRODUCT(Normalizacao!$AL$5:$AL$17,Pesos_Indicadores!$I$5:$I$17,((Pesos_Indicadores!$B$5:$B$17=$A$10)*A53+(Pesos_Indicadores!$B$5:$B$17&lt;&gt;$A$10)*Pesos_Indicadores!$G$5:$G$17*(1-A53)/(1-$B$10)),Normalizacao!$AJ$5:$AJ$17)/B53,""))</f>
        <v>0.781766419401245</v>
      </c>
      <c r="E53" s="60" t="n">
        <f aca="false">IF(B53=0,"",IFERROR(SUMPRODUCT(Normalizacao!$AL$5:$AL$17,Pesos_Indicadores!$I$5:$I$17,((Pesos_Indicadores!$B$5:$B$17=$A$10)*A53+(Pesos_Indicadores!$B$5:$B$17&lt;&gt;$A$10)*Pesos_Indicadores!$G$5:$G$17*(1-A53)/(1-$B$10)),Normalizacao!$AK$5:$AK$17)/B53,""))</f>
        <v>0.829736143208174</v>
      </c>
      <c r="F53" s="17" t="str">
        <f aca="false">IF(C53="","",IF(INDEX(C53:E53,$B$5)&gt;=MAX(C53:E53),$B$4,INDEX(Pontuacao!$A$29:$A$31,MATCH(MAX(C53:E53),C53:E53,0))))</f>
        <v>Microsoft Azure</v>
      </c>
      <c r="G53" s="43" t="str">
        <f aca="false">IF(OR(F53="",F53=$B$4,ABS(A53-$B$10)&lt;0.000000001),"",ABS(A53-$B$10))</f>
        <v/>
      </c>
      <c r="I53" s="60" t="n">
        <f aca="false">(ROW()-17)*$B$6</f>
        <v>0.18</v>
      </c>
      <c r="J53" s="43" t="n">
        <f aca="false">IFERROR(SUMPRODUCT(Normalizacao!$AL$5:$AL$17,Pesos_Indicadores!$I$5:$I$17,((Pesos_Indicadores!$B$5:$B$17=$A$11)*I53+(Pesos_Indicadores!$B$5:$B$17&lt;&gt;$A$11)*Pesos_Indicadores!$G$5:$G$17*(1-I53)/(1-$B$11))),0)</f>
        <v>0.958461538461539</v>
      </c>
      <c r="K53" s="60" t="n">
        <f aca="false">IF(J53=0,"",IFERROR(SUMPRODUCT(Normalizacao!$AL$5:$AL$17,Pesos_Indicadores!$I$5:$I$17,((Pesos_Indicadores!$B$5:$B$17=$A$11)*I53+(Pesos_Indicadores!$B$5:$B$17&lt;&gt;$A$11)*Pesos_Indicadores!$G$5:$G$17*(1-I53)/(1-$B$11)),Normalizacao!$AI$5:$AI$17)/J53,""))</f>
        <v>0.754327096135551</v>
      </c>
      <c r="L53" s="60" t="n">
        <f aca="false">IF(J53=0,"",IFERROR(SUMPRODUCT(Normalizacao!$AL$5:$AL$17,Pesos_Indicadores!$I$5:$I$17,((Pesos_Indicadores!$B$5:$B$17=$A$11)*I53+(Pesos_Indicadores!$B$5:$B$17&lt;&gt;$A$11)*Pesos_Indicadores!$G$5:$G$17*(1-I53)/(1-$B$11)),Normalizacao!$AJ$5:$AJ$17)/J53,""))</f>
        <v>0.776261017865866</v>
      </c>
      <c r="M53" s="60" t="n">
        <f aca="false">IF(J53=0,"",IFERROR(SUMPRODUCT(Normalizacao!$AL$5:$AL$17,Pesos_Indicadores!$I$5:$I$17,((Pesos_Indicadores!$B$5:$B$17=$A$11)*I53+(Pesos_Indicadores!$B$5:$B$17&lt;&gt;$A$11)*Pesos_Indicadores!$G$5:$G$17*(1-I53)/(1-$B$11)),Normalizacao!$AK$5:$AK$17)/J53,""))</f>
        <v>0.824789146751754</v>
      </c>
      <c r="N53" s="17" t="str">
        <f aca="false">IF(K53="","",IF(INDEX(K53:M53,$B$5)&gt;=MAX(K53:M53),$B$4,INDEX(Pontuacao!$A$29:$A$31,MATCH(MAX(K53:M53),K53:M53,0))))</f>
        <v>Microsoft Azure</v>
      </c>
      <c r="O53" s="43" t="str">
        <f aca="false">IF(OR(N53="",N53=$B$4,ABS(I53-$B$11)&lt;0.000000001),"",ABS(I53-$B$11))</f>
        <v/>
      </c>
      <c r="Q53" s="60" t="n">
        <f aca="false">(ROW()-17)*$B$6</f>
        <v>0.18</v>
      </c>
      <c r="R53" s="43" t="n">
        <f aca="false">IFERROR(SUMPRODUCT(Normalizacao!$AL$5:$AL$17,Pesos_Indicadores!$I$5:$I$17,((Pesos_Indicadores!$B$5:$B$17=$A$12)*Q53+(Pesos_Indicadores!$B$5:$B$17&lt;&gt;$A$12)*Pesos_Indicadores!$G$5:$G$17*(1-Q53)/(1-$B$12))),0)</f>
        <v>0.905384615384616</v>
      </c>
      <c r="S53" s="60" t="n">
        <f aca="false">IF(R53=0,"",IFERROR(SUMPRODUCT(Normalizacao!$AL$5:$AL$17,Pesos_Indicadores!$I$5:$I$17,((Pesos_Indicadores!$B$5:$B$17=$A$12)*Q53+(Pesos_Indicadores!$B$5:$B$17&lt;&gt;$A$12)*Pesos_Indicadores!$G$5:$G$17*(1-Q53)/(1-$B$12)),Normalizacao!$AI$5:$AI$17)/R53,""))</f>
        <v>0.731272564931593</v>
      </c>
      <c r="T53" s="60" t="n">
        <f aca="false">IF(R53=0,"",IFERROR(SUMPRODUCT(Normalizacao!$AL$5:$AL$17,Pesos_Indicadores!$I$5:$I$17,((Pesos_Indicadores!$B$5:$B$17=$A$12)*Q53+(Pesos_Indicadores!$B$5:$B$17&lt;&gt;$A$12)*Pesos_Indicadores!$G$5:$G$17*(1-Q53)/(1-$B$12)),Normalizacao!$AJ$5:$AJ$17)/R53,""))</f>
        <v>0.847371402977356</v>
      </c>
      <c r="U53" s="60" t="n">
        <f aca="false">IF(R53=0,"",IFERROR(SUMPRODUCT(Normalizacao!$AL$5:$AL$17,Pesos_Indicadores!$I$5:$I$17,((Pesos_Indicadores!$B$5:$B$17=$A$12)*Q53+(Pesos_Indicadores!$B$5:$B$17&lt;&gt;$A$12)*Pesos_Indicadores!$G$5:$G$17*(1-Q53)/(1-$B$12)),Normalizacao!$AK$5:$AK$17)/R53,""))</f>
        <v>0.862086067888862</v>
      </c>
      <c r="V53" s="17" t="str">
        <f aca="false">IF(S53="","",IF(INDEX(S53:U53,$B$5)&gt;=MAX(S53:U53),$B$4,INDEX(Pontuacao!$A$29:$A$31,MATCH(MAX(S53:U53),S53:U53,0))))</f>
        <v>Microsoft Azure</v>
      </c>
      <c r="W53" s="43" t="str">
        <f aca="false">IF(OR(V53="",V53=$B$4,ABS(Q53-$B$12)&lt;0.000000001),"",ABS(Q53-$B$12))</f>
        <v/>
      </c>
    </row>
    <row r="54" customFormat="false" ht="15" hidden="false" customHeight="true" outlineLevel="0" collapsed="false">
      <c r="A54" s="60" t="n">
        <f aca="false">(ROW()-17)*$B$6</f>
        <v>0.185</v>
      </c>
      <c r="B54" s="43" t="n">
        <f aca="false">IFERROR(SUMPRODUCT(Normalizacao!$AL$5:$AL$17,Pesos_Indicadores!$I$5:$I$17,((Pesos_Indicadores!$B$5:$B$17=$A$10)*A54+(Pesos_Indicadores!$B$5:$B$17&lt;&gt;$A$10)*Pesos_Indicadores!$G$5:$G$17*(1-A54)/(1-$B$10))),0)</f>
        <v>0.981192307692308</v>
      </c>
      <c r="C54" s="60" t="n">
        <f aca="false">IF(B54=0,"",IFERROR(SUMPRODUCT(Normalizacao!$AL$5:$AL$17,Pesos_Indicadores!$I$5:$I$17,((Pesos_Indicadores!$B$5:$B$17=$A$10)*A54+(Pesos_Indicadores!$B$5:$B$17&lt;&gt;$A$10)*Pesos_Indicadores!$G$5:$G$17*(1-A54)/(1-$B$10)),Normalizacao!$AI$5:$AI$17)/B54,""))</f>
        <v>0.73408853694108</v>
      </c>
      <c r="D54" s="60" t="n">
        <f aca="false">IF(B54=0,"",IFERROR(SUMPRODUCT(Normalizacao!$AL$5:$AL$17,Pesos_Indicadores!$I$5:$I$17,((Pesos_Indicadores!$B$5:$B$17=$A$10)*A54+(Pesos_Indicadores!$B$5:$B$17&lt;&gt;$A$10)*Pesos_Indicadores!$G$5:$G$17*(1-A54)/(1-$B$10)),Normalizacao!$AJ$5:$AJ$17)/B54,""))</f>
        <v>0.782427209575409</v>
      </c>
      <c r="E54" s="60" t="n">
        <f aca="false">IF(B54=0,"",IFERROR(SUMPRODUCT(Normalizacao!$AL$5:$AL$17,Pesos_Indicadores!$I$5:$I$17,((Pesos_Indicadores!$B$5:$B$17=$A$10)*A54+(Pesos_Indicadores!$B$5:$B$17&lt;&gt;$A$10)*Pesos_Indicadores!$G$5:$G$17*(1-A54)/(1-$B$10)),Normalizacao!$AK$5:$AK$17)/B54,""))</f>
        <v>0.830131961688976</v>
      </c>
      <c r="F54" s="17" t="str">
        <f aca="false">IF(C54="","",IF(INDEX(C54:E54,$B$5)&gt;=MAX(C54:E54),$B$4,INDEX(Pontuacao!$A$29:$A$31,MATCH(MAX(C54:E54),C54:E54,0))))</f>
        <v>Microsoft Azure</v>
      </c>
      <c r="G54" s="43" t="str">
        <f aca="false">IF(OR(F54="",F54=$B$4,ABS(A54-$B$10)&lt;0.000000001),"",ABS(A54-$B$10))</f>
        <v/>
      </c>
      <c r="I54" s="60" t="n">
        <f aca="false">(ROW()-17)*$B$6</f>
        <v>0.185</v>
      </c>
      <c r="J54" s="43" t="n">
        <f aca="false">IFERROR(SUMPRODUCT(Normalizacao!$AL$5:$AL$17,Pesos_Indicadores!$I$5:$I$17,((Pesos_Indicadores!$B$5:$B$17=$A$11)*I54+(Pesos_Indicadores!$B$5:$B$17&lt;&gt;$A$11)*Pesos_Indicadores!$G$5:$G$17*(1-I54)/(1-$B$11))),0)</f>
        <v>0.957307692307692</v>
      </c>
      <c r="K54" s="60" t="n">
        <f aca="false">IF(J54=0,"",IFERROR(SUMPRODUCT(Normalizacao!$AL$5:$AL$17,Pesos_Indicadores!$I$5:$I$17,((Pesos_Indicadores!$B$5:$B$17=$A$11)*I54+(Pesos_Indicadores!$B$5:$B$17&lt;&gt;$A$11)*Pesos_Indicadores!$G$5:$G$17*(1-I54)/(1-$B$11)),Normalizacao!$AI$5:$AI$17)/J54,""))</f>
        <v>0.754795855769964</v>
      </c>
      <c r="L54" s="60" t="n">
        <f aca="false">IF(J54=0,"",IFERROR(SUMPRODUCT(Normalizacao!$AL$5:$AL$17,Pesos_Indicadores!$I$5:$I$17,((Pesos_Indicadores!$B$5:$B$17=$A$11)*I54+(Pesos_Indicadores!$B$5:$B$17&lt;&gt;$A$11)*Pesos_Indicadores!$G$5:$G$17*(1-I54)/(1-$B$11)),Normalizacao!$AJ$5:$AJ$17)/J54,""))</f>
        <v>0.776622309902702</v>
      </c>
      <c r="M54" s="60" t="n">
        <f aca="false">IF(J54=0,"",IFERROR(SUMPRODUCT(Normalizacao!$AL$5:$AL$17,Pesos_Indicadores!$I$5:$I$17,((Pesos_Indicadores!$B$5:$B$17=$A$11)*I54+(Pesos_Indicadores!$B$5:$B$17&lt;&gt;$A$11)*Pesos_Indicadores!$G$5:$G$17*(1-I54)/(1-$B$11)),Normalizacao!$AK$5:$AK$17)/J54,""))</f>
        <v>0.824910905991162</v>
      </c>
      <c r="N54" s="17" t="str">
        <f aca="false">IF(K54="","",IF(INDEX(K54:M54,$B$5)&gt;=MAX(K54:M54),$B$4,INDEX(Pontuacao!$A$29:$A$31,MATCH(MAX(K54:M54),K54:M54,0))))</f>
        <v>Microsoft Azure</v>
      </c>
      <c r="O54" s="43" t="str">
        <f aca="false">IF(OR(N54="",N54=$B$4,ABS(I54-$B$11)&lt;0.000000001),"",ABS(I54-$B$11))</f>
        <v/>
      </c>
      <c r="Q54" s="60" t="n">
        <f aca="false">(ROW()-17)*$B$6</f>
        <v>0.185</v>
      </c>
      <c r="R54" s="43" t="n">
        <f aca="false">IFERROR(SUMPRODUCT(Normalizacao!$AL$5:$AL$17,Pesos_Indicadores!$I$5:$I$17,((Pesos_Indicadores!$B$5:$B$17=$A$12)*Q54+(Pesos_Indicadores!$B$5:$B$17&lt;&gt;$A$12)*Pesos_Indicadores!$G$5:$G$17*(1-Q54)/(1-$B$12))),0)</f>
        <v>0.905961538461539</v>
      </c>
      <c r="S54" s="60" t="n">
        <f aca="false">IF(R54=0,"",IFERROR(SUMPRODUCT(Normalizacao!$AL$5:$AL$17,Pesos_Indicadores!$I$5:$I$17,((Pesos_Indicadores!$B$5:$B$17=$A$12)*Q54+(Pesos_Indicadores!$B$5:$B$17&lt;&gt;$A$12)*Pesos_Indicadores!$G$5:$G$17*(1-Q54)/(1-$B$12)),Normalizacao!$AI$5:$AI$17)/R54,""))</f>
        <v>0.731398609661307</v>
      </c>
      <c r="T54" s="60" t="n">
        <f aca="false">IF(R54=0,"",IFERROR(SUMPRODUCT(Normalizacao!$AL$5:$AL$17,Pesos_Indicadores!$I$5:$I$17,((Pesos_Indicadores!$B$5:$B$17=$A$12)*Q54+(Pesos_Indicadores!$B$5:$B$17&lt;&gt;$A$12)*Pesos_Indicadores!$G$5:$G$17*(1-Q54)/(1-$B$12)),Normalizacao!$AJ$5:$AJ$17)/R54,""))</f>
        <v>0.846716046163927</v>
      </c>
      <c r="U54" s="60" t="n">
        <f aca="false">IF(R54=0,"",IFERROR(SUMPRODUCT(Normalizacao!$AL$5:$AL$17,Pesos_Indicadores!$I$5:$I$17,((Pesos_Indicadores!$B$5:$B$17=$A$12)*Q54+(Pesos_Indicadores!$B$5:$B$17&lt;&gt;$A$12)*Pesos_Indicadores!$G$5:$G$17*(1-Q54)/(1-$B$12)),Normalizacao!$AK$5:$AK$17)/R54,""))</f>
        <v>0.861752329579169</v>
      </c>
      <c r="V54" s="17" t="str">
        <f aca="false">IF(S54="","",IF(INDEX(S54:U54,$B$5)&gt;=MAX(S54:U54),$B$4,INDEX(Pontuacao!$A$29:$A$31,MATCH(MAX(S54:U54),S54:U54,0))))</f>
        <v>Microsoft Azure</v>
      </c>
      <c r="W54" s="43" t="str">
        <f aca="false">IF(OR(V54="",V54=$B$4,ABS(Q54-$B$12)&lt;0.000000001),"",ABS(Q54-$B$12))</f>
        <v/>
      </c>
    </row>
    <row r="55" customFormat="false" ht="15" hidden="false" customHeight="true" outlineLevel="0" collapsed="false">
      <c r="A55" s="60" t="n">
        <f aca="false">(ROW()-17)*$B$6</f>
        <v>0.19</v>
      </c>
      <c r="B55" s="43" t="n">
        <f aca="false">IFERROR(SUMPRODUCT(Normalizacao!$AL$5:$AL$17,Pesos_Indicadores!$I$5:$I$17,((Pesos_Indicadores!$B$5:$B$17=$A$10)*A55+(Pesos_Indicadores!$B$5:$B$17&lt;&gt;$A$10)*Pesos_Indicadores!$G$5:$G$17*(1-A55)/(1-$B$10))),0)</f>
        <v>0.981307692307692</v>
      </c>
      <c r="C55" s="60" t="n">
        <f aca="false">IF(B55=0,"",IFERROR(SUMPRODUCT(Normalizacao!$AL$5:$AL$17,Pesos_Indicadores!$I$5:$I$17,((Pesos_Indicadores!$B$5:$B$17=$A$10)*A55+(Pesos_Indicadores!$B$5:$B$17&lt;&gt;$A$10)*Pesos_Indicadores!$G$5:$G$17*(1-A55)/(1-$B$10)),Normalizacao!$AI$5:$AI$17)/B55,""))</f>
        <v>0.733448558506668</v>
      </c>
      <c r="D55" s="60" t="n">
        <f aca="false">IF(B55=0,"",IFERROR(SUMPRODUCT(Normalizacao!$AL$5:$AL$17,Pesos_Indicadores!$I$5:$I$17,((Pesos_Indicadores!$B$5:$B$17=$A$10)*A55+(Pesos_Indicadores!$B$5:$B$17&lt;&gt;$A$10)*Pesos_Indicadores!$G$5:$G$17*(1-A55)/(1-$B$10)),Normalizacao!$AJ$5:$AJ$17)/B55,""))</f>
        <v>0.783087844354847</v>
      </c>
      <c r="E55" s="60" t="n">
        <f aca="false">IF(B55=0,"",IFERROR(SUMPRODUCT(Normalizacao!$AL$5:$AL$17,Pesos_Indicadores!$I$5:$I$17,((Pesos_Indicadores!$B$5:$B$17=$A$10)*A55+(Pesos_Indicadores!$B$5:$B$17&lt;&gt;$A$10)*Pesos_Indicadores!$G$5:$G$17*(1-A55)/(1-$B$10)),Normalizacao!$AK$5:$AK$17)/B55,""))</f>
        <v>0.830527687087122</v>
      </c>
      <c r="F55" s="17" t="str">
        <f aca="false">IF(C55="","",IF(INDEX(C55:E55,$B$5)&gt;=MAX(C55:E55),$B$4,INDEX(Pontuacao!$A$29:$A$31,MATCH(MAX(C55:E55),C55:E55,0))))</f>
        <v>Microsoft Azure</v>
      </c>
      <c r="G55" s="43" t="str">
        <f aca="false">IF(OR(F55="",F55=$B$4,ABS(A55-$B$10)&lt;0.000000001),"",ABS(A55-$B$10))</f>
        <v/>
      </c>
      <c r="I55" s="60" t="n">
        <f aca="false">(ROW()-17)*$B$6</f>
        <v>0.19</v>
      </c>
      <c r="J55" s="43" t="n">
        <f aca="false">IFERROR(SUMPRODUCT(Normalizacao!$AL$5:$AL$17,Pesos_Indicadores!$I$5:$I$17,((Pesos_Indicadores!$B$5:$B$17=$A$11)*I55+(Pesos_Indicadores!$B$5:$B$17&lt;&gt;$A$11)*Pesos_Indicadores!$G$5:$G$17*(1-I55)/(1-$B$11))),0)</f>
        <v>0.956153846153846</v>
      </c>
      <c r="K55" s="60" t="n">
        <f aca="false">IF(J55=0,"",IFERROR(SUMPRODUCT(Normalizacao!$AL$5:$AL$17,Pesos_Indicadores!$I$5:$I$17,((Pesos_Indicadores!$B$5:$B$17=$A$11)*I55+(Pesos_Indicadores!$B$5:$B$17&lt;&gt;$A$11)*Pesos_Indicadores!$G$5:$G$17*(1-I55)/(1-$B$11)),Normalizacao!$AI$5:$AI$17)/J55,""))</f>
        <v>0.755265746763109</v>
      </c>
      <c r="L55" s="60" t="n">
        <f aca="false">IF(J55=0,"",IFERROR(SUMPRODUCT(Normalizacao!$AL$5:$AL$17,Pesos_Indicadores!$I$5:$I$17,((Pesos_Indicadores!$B$5:$B$17=$A$11)*I55+(Pesos_Indicadores!$B$5:$B$17&lt;&gt;$A$11)*Pesos_Indicadores!$G$5:$G$17*(1-I55)/(1-$B$11)),Normalizacao!$AJ$5:$AJ$17)/J55,""))</f>
        <v>0.776984473923537</v>
      </c>
      <c r="M55" s="60" t="n">
        <f aca="false">IF(J55=0,"",IFERROR(SUMPRODUCT(Normalizacao!$AL$5:$AL$17,Pesos_Indicadores!$I$5:$I$17,((Pesos_Indicadores!$B$5:$B$17=$A$11)*I55+(Pesos_Indicadores!$B$5:$B$17&lt;&gt;$A$11)*Pesos_Indicadores!$G$5:$G$17*(1-I55)/(1-$B$11)),Normalizacao!$AK$5:$AK$17)/J55,""))</f>
        <v>0.825032959098404</v>
      </c>
      <c r="N55" s="17" t="str">
        <f aca="false">IF(K55="","",IF(INDEX(K55:M55,$B$5)&gt;=MAX(K55:M55),$B$4,INDEX(Pontuacao!$A$29:$A$31,MATCH(MAX(K55:M55),K55:M55,0))))</f>
        <v>Microsoft Azure</v>
      </c>
      <c r="O55" s="43" t="str">
        <f aca="false">IF(OR(N55="",N55=$B$4,ABS(I55-$B$11)&lt;0.000000001),"",ABS(I55-$B$11))</f>
        <v/>
      </c>
      <c r="Q55" s="60" t="n">
        <f aca="false">(ROW()-17)*$B$6</f>
        <v>0.19</v>
      </c>
      <c r="R55" s="43" t="n">
        <f aca="false">IFERROR(SUMPRODUCT(Normalizacao!$AL$5:$AL$17,Pesos_Indicadores!$I$5:$I$17,((Pesos_Indicadores!$B$5:$B$17=$A$12)*Q55+(Pesos_Indicadores!$B$5:$B$17&lt;&gt;$A$12)*Pesos_Indicadores!$G$5:$G$17*(1-Q55)/(1-$B$12))),0)</f>
        <v>0.906538461538462</v>
      </c>
      <c r="S55" s="60" t="n">
        <f aca="false">IF(R55=0,"",IFERROR(SUMPRODUCT(Normalizacao!$AL$5:$AL$17,Pesos_Indicadores!$I$5:$I$17,((Pesos_Indicadores!$B$5:$B$17=$A$12)*Q55+(Pesos_Indicadores!$B$5:$B$17&lt;&gt;$A$12)*Pesos_Indicadores!$G$5:$G$17*(1-Q55)/(1-$B$12)),Normalizacao!$AI$5:$AI$17)/R55,""))</f>
        <v>0.731524493960733</v>
      </c>
      <c r="T55" s="60" t="n">
        <f aca="false">IF(R55=0,"",IFERROR(SUMPRODUCT(Normalizacao!$AL$5:$AL$17,Pesos_Indicadores!$I$5:$I$17,((Pesos_Indicadores!$B$5:$B$17=$A$12)*Q55+(Pesos_Indicadores!$B$5:$B$17&lt;&gt;$A$12)*Pesos_Indicadores!$G$5:$G$17*(1-Q55)/(1-$B$12)),Normalizacao!$AJ$5:$AJ$17)/R55,""))</f>
        <v>0.846061523491542</v>
      </c>
      <c r="U55" s="60" t="n">
        <f aca="false">IF(R55=0,"",IFERROR(SUMPRODUCT(Normalizacao!$AL$5:$AL$17,Pesos_Indicadores!$I$5:$I$17,((Pesos_Indicadores!$B$5:$B$17=$A$12)*Q55+(Pesos_Indicadores!$B$5:$B$17&lt;&gt;$A$12)*Pesos_Indicadores!$G$5:$G$17*(1-Q55)/(1-$B$12)),Normalizacao!$AK$5:$AK$17)/R55,""))</f>
        <v>0.861419016053069</v>
      </c>
      <c r="V55" s="17" t="str">
        <f aca="false">IF(S55="","",IF(INDEX(S55:U55,$B$5)&gt;=MAX(S55:U55),$B$4,INDEX(Pontuacao!$A$29:$A$31,MATCH(MAX(S55:U55),S55:U55,0))))</f>
        <v>Microsoft Azure</v>
      </c>
      <c r="W55" s="43" t="str">
        <f aca="false">IF(OR(V55="",V55=$B$4,ABS(Q55-$B$12)&lt;0.000000001),"",ABS(Q55-$B$12))</f>
        <v/>
      </c>
    </row>
    <row r="56" customFormat="false" ht="15" hidden="false" customHeight="true" outlineLevel="0" collapsed="false">
      <c r="A56" s="60" t="n">
        <f aca="false">(ROW()-17)*$B$6</f>
        <v>0.195</v>
      </c>
      <c r="B56" s="43" t="n">
        <f aca="false">IFERROR(SUMPRODUCT(Normalizacao!$AL$5:$AL$17,Pesos_Indicadores!$I$5:$I$17,((Pesos_Indicadores!$B$5:$B$17=$A$10)*A56+(Pesos_Indicadores!$B$5:$B$17&lt;&gt;$A$10)*Pesos_Indicadores!$G$5:$G$17*(1-A56)/(1-$B$10))),0)</f>
        <v>0.981423076923077</v>
      </c>
      <c r="C56" s="60" t="n">
        <f aca="false">IF(B56=0,"",IFERROR(SUMPRODUCT(Normalizacao!$AL$5:$AL$17,Pesos_Indicadores!$I$5:$I$17,((Pesos_Indicadores!$B$5:$B$17=$A$10)*A56+(Pesos_Indicadores!$B$5:$B$17&lt;&gt;$A$10)*Pesos_Indicadores!$G$5:$G$17*(1-A56)/(1-$B$10)),Normalizacao!$AI$5:$AI$17)/B56,""))</f>
        <v>0.732808730555095</v>
      </c>
      <c r="D56" s="60" t="n">
        <f aca="false">IF(B56=0,"",IFERROR(SUMPRODUCT(Normalizacao!$AL$5:$AL$17,Pesos_Indicadores!$I$5:$I$17,((Pesos_Indicadores!$B$5:$B$17=$A$10)*A56+(Pesos_Indicadores!$B$5:$B$17&lt;&gt;$A$10)*Pesos_Indicadores!$G$5:$G$17*(1-A56)/(1-$B$10)),Normalizacao!$AJ$5:$AJ$17)/B56,""))</f>
        <v>0.783748323794367</v>
      </c>
      <c r="E56" s="60" t="n">
        <f aca="false">IF(B56=0,"",IFERROR(SUMPRODUCT(Normalizacao!$AL$5:$AL$17,Pesos_Indicadores!$I$5:$I$17,((Pesos_Indicadores!$B$5:$B$17=$A$10)*A56+(Pesos_Indicadores!$B$5:$B$17&lt;&gt;$A$10)*Pesos_Indicadores!$G$5:$G$17*(1-A56)/(1-$B$10)),Normalizacao!$AK$5:$AK$17)/B56,""))</f>
        <v>0.830923319435443</v>
      </c>
      <c r="F56" s="17" t="str">
        <f aca="false">IF(C56="","",IF(INDEX(C56:E56,$B$5)&gt;=MAX(C56:E56),$B$4,INDEX(Pontuacao!$A$29:$A$31,MATCH(MAX(C56:E56),C56:E56,0))))</f>
        <v>Microsoft Azure</v>
      </c>
      <c r="G56" s="43" t="str">
        <f aca="false">IF(OR(F56="",F56=$B$4,ABS(A56-$B$10)&lt;0.000000001),"",ABS(A56-$B$10))</f>
        <v/>
      </c>
      <c r="I56" s="60" t="n">
        <f aca="false">(ROW()-17)*$B$6</f>
        <v>0.195</v>
      </c>
      <c r="J56" s="43" t="n">
        <f aca="false">IFERROR(SUMPRODUCT(Normalizacao!$AL$5:$AL$17,Pesos_Indicadores!$I$5:$I$17,((Pesos_Indicadores!$B$5:$B$17=$A$11)*I56+(Pesos_Indicadores!$B$5:$B$17&lt;&gt;$A$11)*Pesos_Indicadores!$G$5:$G$17*(1-I56)/(1-$B$11))),0)</f>
        <v>0.955</v>
      </c>
      <c r="K56" s="60" t="n">
        <f aca="false">IF(J56=0,"",IFERROR(SUMPRODUCT(Normalizacao!$AL$5:$AL$17,Pesos_Indicadores!$I$5:$I$17,((Pesos_Indicadores!$B$5:$B$17=$A$11)*I56+(Pesos_Indicadores!$B$5:$B$17&lt;&gt;$A$11)*Pesos_Indicadores!$G$5:$G$17*(1-I56)/(1-$B$11)),Normalizacao!$AI$5:$AI$17)/J56,""))</f>
        <v>0.755736773215762</v>
      </c>
      <c r="L56" s="60" t="n">
        <f aca="false">IF(J56=0,"",IFERROR(SUMPRODUCT(Normalizacao!$AL$5:$AL$17,Pesos_Indicadores!$I$5:$I$17,((Pesos_Indicadores!$B$5:$B$17=$A$11)*I56+(Pesos_Indicadores!$B$5:$B$17&lt;&gt;$A$11)*Pesos_Indicadores!$G$5:$G$17*(1-I56)/(1-$B$11)),Normalizacao!$AJ$5:$AJ$17)/J56,""))</f>
        <v>0.777347513089005</v>
      </c>
      <c r="M56" s="60" t="n">
        <f aca="false">IF(J56=0,"",IFERROR(SUMPRODUCT(Normalizacao!$AL$5:$AL$17,Pesos_Indicadores!$I$5:$I$17,((Pesos_Indicadores!$B$5:$B$17=$A$11)*I56+(Pesos_Indicadores!$B$5:$B$17&lt;&gt;$A$11)*Pesos_Indicadores!$G$5:$G$17*(1-I56)/(1-$B$11)),Normalizacao!$AK$5:$AK$17)/J56,""))</f>
        <v>0.825155307138648</v>
      </c>
      <c r="N56" s="17" t="str">
        <f aca="false">IF(K56="","",IF(INDEX(K56:M56,$B$5)&gt;=MAX(K56:M56),$B$4,INDEX(Pontuacao!$A$29:$A$31,MATCH(MAX(K56:M56),K56:M56,0))))</f>
        <v>Microsoft Azure</v>
      </c>
      <c r="O56" s="43" t="str">
        <f aca="false">IF(OR(N56="",N56=$B$4,ABS(I56-$B$11)&lt;0.000000001),"",ABS(I56-$B$11))</f>
        <v/>
      </c>
      <c r="Q56" s="60" t="n">
        <f aca="false">(ROW()-17)*$B$6</f>
        <v>0.195</v>
      </c>
      <c r="R56" s="43" t="n">
        <f aca="false">IFERROR(SUMPRODUCT(Normalizacao!$AL$5:$AL$17,Pesos_Indicadores!$I$5:$I$17,((Pesos_Indicadores!$B$5:$B$17=$A$12)*Q56+(Pesos_Indicadores!$B$5:$B$17&lt;&gt;$A$12)*Pesos_Indicadores!$G$5:$G$17*(1-Q56)/(1-$B$12))),0)</f>
        <v>0.907115384615385</v>
      </c>
      <c r="S56" s="60" t="n">
        <f aca="false">IF(R56=0,"",IFERROR(SUMPRODUCT(Normalizacao!$AL$5:$AL$17,Pesos_Indicadores!$I$5:$I$17,((Pesos_Indicadores!$B$5:$B$17=$A$12)*Q56+(Pesos_Indicadores!$B$5:$B$17&lt;&gt;$A$12)*Pesos_Indicadores!$G$5:$G$17*(1-Q56)/(1-$B$12)),Normalizacao!$AI$5:$AI$17)/R56,""))</f>
        <v>0.73165021813597</v>
      </c>
      <c r="T56" s="60" t="n">
        <f aca="false">IF(R56=0,"",IFERROR(SUMPRODUCT(Normalizacao!$AL$5:$AL$17,Pesos_Indicadores!$I$5:$I$17,((Pesos_Indicadores!$B$5:$B$17=$A$12)*Q56+(Pesos_Indicadores!$B$5:$B$17&lt;&gt;$A$12)*Pesos_Indicadores!$G$5:$G$17*(1-Q56)/(1-$B$12)),Normalizacao!$AJ$5:$AJ$17)/R56,""))</f>
        <v>0.845407833368666</v>
      </c>
      <c r="U56" s="60" t="n">
        <f aca="false">IF(R56=0,"",IFERROR(SUMPRODUCT(Normalizacao!$AL$5:$AL$17,Pesos_Indicadores!$I$5:$I$17,((Pesos_Indicadores!$B$5:$B$17=$A$12)*Q56+(Pesos_Indicadores!$B$5:$B$17&lt;&gt;$A$12)*Pesos_Indicadores!$G$5:$G$17*(1-Q56)/(1-$B$12)),Normalizacao!$AK$5:$AK$17)/R56,""))</f>
        <v>0.861086126500079</v>
      </c>
      <c r="V56" s="17" t="str">
        <f aca="false">IF(S56="","",IF(INDEX(S56:U56,$B$5)&gt;=MAX(S56:U56),$B$4,INDEX(Pontuacao!$A$29:$A$31,MATCH(MAX(S56:U56),S56:U56,0))))</f>
        <v>Microsoft Azure</v>
      </c>
      <c r="W56" s="43" t="str">
        <f aca="false">IF(OR(V56="",V56=$B$4,ABS(Q56-$B$12)&lt;0.000000001),"",ABS(Q56-$B$12))</f>
        <v/>
      </c>
    </row>
    <row r="57" customFormat="false" ht="15" hidden="false" customHeight="true" outlineLevel="0" collapsed="false">
      <c r="A57" s="60" t="n">
        <f aca="false">(ROW()-17)*$B$6</f>
        <v>0.2</v>
      </c>
      <c r="B57" s="43" t="n">
        <f aca="false">IFERROR(SUMPRODUCT(Normalizacao!$AL$5:$AL$17,Pesos_Indicadores!$I$5:$I$17,((Pesos_Indicadores!$B$5:$B$17=$A$10)*A57+(Pesos_Indicadores!$B$5:$B$17&lt;&gt;$A$10)*Pesos_Indicadores!$G$5:$G$17*(1-A57)/(1-$B$10))),0)</f>
        <v>0.981538461538462</v>
      </c>
      <c r="C57" s="60" t="n">
        <f aca="false">IF(B57=0,"",IFERROR(SUMPRODUCT(Normalizacao!$AL$5:$AL$17,Pesos_Indicadores!$I$5:$I$17,((Pesos_Indicadores!$B$5:$B$17=$A$10)*A57+(Pesos_Indicadores!$B$5:$B$17&lt;&gt;$A$10)*Pesos_Indicadores!$G$5:$G$17*(1-A57)/(1-$B$10)),Normalizacao!$AI$5:$AI$17)/B57,""))</f>
        <v>0.732169053033292</v>
      </c>
      <c r="D57" s="60" t="n">
        <f aca="false">IF(B57=0,"",IFERROR(SUMPRODUCT(Normalizacao!$AL$5:$AL$17,Pesos_Indicadores!$I$5:$I$17,((Pesos_Indicadores!$B$5:$B$17=$A$10)*A57+(Pesos_Indicadores!$B$5:$B$17&lt;&gt;$A$10)*Pesos_Indicadores!$G$5:$G$17*(1-A57)/(1-$B$10)),Normalizacao!$AJ$5:$AJ$17)/B57,""))</f>
        <v>0.784408647948753</v>
      </c>
      <c r="E57" s="60" t="n">
        <f aca="false">IF(B57=0,"",IFERROR(SUMPRODUCT(Normalizacao!$AL$5:$AL$17,Pesos_Indicadores!$I$5:$I$17,((Pesos_Indicadores!$B$5:$B$17=$A$10)*A57+(Pesos_Indicadores!$B$5:$B$17&lt;&gt;$A$10)*Pesos_Indicadores!$G$5:$G$17*(1-A57)/(1-$B$10)),Normalizacao!$AK$5:$AK$17)/B57,""))</f>
        <v>0.831318858766754</v>
      </c>
      <c r="F57" s="17" t="str">
        <f aca="false">IF(C57="","",IF(INDEX(C57:E57,$B$5)&gt;=MAX(C57:E57),$B$4,INDEX(Pontuacao!$A$29:$A$31,MATCH(MAX(C57:E57),C57:E57,0))))</f>
        <v>Microsoft Azure</v>
      </c>
      <c r="G57" s="43" t="str">
        <f aca="false">IF(OR(F57="",F57=$B$4,ABS(A57-$B$10)&lt;0.000000001),"",ABS(A57-$B$10))</f>
        <v/>
      </c>
      <c r="I57" s="60" t="n">
        <f aca="false">(ROW()-17)*$B$6</f>
        <v>0.2</v>
      </c>
      <c r="J57" s="43" t="n">
        <f aca="false">IFERROR(SUMPRODUCT(Normalizacao!$AL$5:$AL$17,Pesos_Indicadores!$I$5:$I$17,((Pesos_Indicadores!$B$5:$B$17=$A$11)*I57+(Pesos_Indicadores!$B$5:$B$17&lt;&gt;$A$11)*Pesos_Indicadores!$G$5:$G$17*(1-I57)/(1-$B$11))),0)</f>
        <v>0.953846153846154</v>
      </c>
      <c r="K57" s="60" t="n">
        <f aca="false">IF(J57=0,"",IFERROR(SUMPRODUCT(Normalizacao!$AL$5:$AL$17,Pesos_Indicadores!$I$5:$I$17,((Pesos_Indicadores!$B$5:$B$17=$A$11)*I57+(Pesos_Indicadores!$B$5:$B$17&lt;&gt;$A$11)*Pesos_Indicadores!$G$5:$G$17*(1-I57)/(1-$B$11)),Normalizacao!$AI$5:$AI$17)/J57,""))</f>
        <v>0.756208939248542</v>
      </c>
      <c r="L57" s="60" t="n">
        <f aca="false">IF(J57=0,"",IFERROR(SUMPRODUCT(Normalizacao!$AL$5:$AL$17,Pesos_Indicadores!$I$5:$I$17,((Pesos_Indicadores!$B$5:$B$17=$A$11)*I57+(Pesos_Indicadores!$B$5:$B$17&lt;&gt;$A$11)*Pesos_Indicadores!$G$5:$G$17*(1-I57)/(1-$B$11)),Normalizacao!$AJ$5:$AJ$17)/J57,""))</f>
        <v>0.777711430575035</v>
      </c>
      <c r="M57" s="60" t="n">
        <f aca="false">IF(J57=0,"",IFERROR(SUMPRODUCT(Normalizacao!$AL$5:$AL$17,Pesos_Indicadores!$I$5:$I$17,((Pesos_Indicadores!$B$5:$B$17=$A$11)*I57+(Pesos_Indicadores!$B$5:$B$17&lt;&gt;$A$11)*Pesos_Indicadores!$G$5:$G$17*(1-I57)/(1-$B$11)),Normalizacao!$AK$5:$AK$17)/J57,""))</f>
        <v>0.825277951182215</v>
      </c>
      <c r="N57" s="17" t="str">
        <f aca="false">IF(K57="","",IF(INDEX(K57:M57,$B$5)&gt;=MAX(K57:M57),$B$4,INDEX(Pontuacao!$A$29:$A$31,MATCH(MAX(K57:M57),K57:M57,0))))</f>
        <v>Microsoft Azure</v>
      </c>
      <c r="O57" s="43" t="str">
        <f aca="false">IF(OR(N57="",N57=$B$4,ABS(I57-$B$11)&lt;0.000000001),"",ABS(I57-$B$11))</f>
        <v/>
      </c>
      <c r="Q57" s="60" t="n">
        <f aca="false">(ROW()-17)*$B$6</f>
        <v>0.2</v>
      </c>
      <c r="R57" s="43" t="n">
        <f aca="false">IFERROR(SUMPRODUCT(Normalizacao!$AL$5:$AL$17,Pesos_Indicadores!$I$5:$I$17,((Pesos_Indicadores!$B$5:$B$17=$A$12)*Q57+(Pesos_Indicadores!$B$5:$B$17&lt;&gt;$A$12)*Pesos_Indicadores!$G$5:$G$17*(1-Q57)/(1-$B$12))),0)</f>
        <v>0.907692307692308</v>
      </c>
      <c r="S57" s="60" t="n">
        <f aca="false">IF(R57=0,"",IFERROR(SUMPRODUCT(Normalizacao!$AL$5:$AL$17,Pesos_Indicadores!$I$5:$I$17,((Pesos_Indicadores!$B$5:$B$17=$A$12)*Q57+(Pesos_Indicadores!$B$5:$B$17&lt;&gt;$A$12)*Pesos_Indicadores!$G$5:$G$17*(1-Q57)/(1-$B$12)),Normalizacao!$AI$5:$AI$17)/R57,""))</f>
        <v>0.73177578249234</v>
      </c>
      <c r="T57" s="60" t="n">
        <f aca="false">IF(R57=0,"",IFERROR(SUMPRODUCT(Normalizacao!$AL$5:$AL$17,Pesos_Indicadores!$I$5:$I$17,((Pesos_Indicadores!$B$5:$B$17=$A$12)*Q57+(Pesos_Indicadores!$B$5:$B$17&lt;&gt;$A$12)*Pesos_Indicadores!$G$5:$G$17*(1-Q57)/(1-$B$12)),Normalizacao!$AJ$5:$AJ$17)/R57,""))</f>
        <v>0.844754974207811</v>
      </c>
      <c r="U57" s="60" t="n">
        <f aca="false">IF(R57=0,"",IFERROR(SUMPRODUCT(Normalizacao!$AL$5:$AL$17,Pesos_Indicadores!$I$5:$I$17,((Pesos_Indicadores!$B$5:$B$17=$A$12)*Q57+(Pesos_Indicadores!$B$5:$B$17&lt;&gt;$A$12)*Pesos_Indicadores!$G$5:$G$17*(1-Q57)/(1-$B$12)),Normalizacao!$AK$5:$AK$17)/R57,""))</f>
        <v>0.860753660111774</v>
      </c>
      <c r="V57" s="17" t="str">
        <f aca="false">IF(S57="","",IF(INDEX(S57:U57,$B$5)&gt;=MAX(S57:U57),$B$4,INDEX(Pontuacao!$A$29:$A$31,MATCH(MAX(S57:U57),S57:U57,0))))</f>
        <v>Microsoft Azure</v>
      </c>
      <c r="W57" s="43" t="str">
        <f aca="false">IF(OR(V57="",V57=$B$4,ABS(Q57-$B$12)&lt;0.000000001),"",ABS(Q57-$B$12))</f>
        <v/>
      </c>
    </row>
    <row r="58" customFormat="false" ht="15" hidden="false" customHeight="true" outlineLevel="0" collapsed="false">
      <c r="A58" s="60" t="n">
        <f aca="false">(ROW()-17)*$B$6</f>
        <v>0.205</v>
      </c>
      <c r="B58" s="43" t="n">
        <f aca="false">IFERROR(SUMPRODUCT(Normalizacao!$AL$5:$AL$17,Pesos_Indicadores!$I$5:$I$17,((Pesos_Indicadores!$B$5:$B$17=$A$10)*A58+(Pesos_Indicadores!$B$5:$B$17&lt;&gt;$A$10)*Pesos_Indicadores!$G$5:$G$17*(1-A58)/(1-$B$10))),0)</f>
        <v>0.981653846153846</v>
      </c>
      <c r="C58" s="60" t="n">
        <f aca="false">IF(B58=0,"",IFERROR(SUMPRODUCT(Normalizacao!$AL$5:$AL$17,Pesos_Indicadores!$I$5:$I$17,((Pesos_Indicadores!$B$5:$B$17=$A$10)*A58+(Pesos_Indicadores!$B$5:$B$17&lt;&gt;$A$10)*Pesos_Indicadores!$G$5:$G$17*(1-A58)/(1-$B$10)),Normalizacao!$AI$5:$AI$17)/B58,""))</f>
        <v>0.731529525888213</v>
      </c>
      <c r="D58" s="60" t="n">
        <f aca="false">IF(B58=0,"",IFERROR(SUMPRODUCT(Normalizacao!$AL$5:$AL$17,Pesos_Indicadores!$I$5:$I$17,((Pesos_Indicadores!$B$5:$B$17=$A$10)*A58+(Pesos_Indicadores!$B$5:$B$17&lt;&gt;$A$10)*Pesos_Indicadores!$G$5:$G$17*(1-A58)/(1-$B$10)),Normalizacao!$AJ$5:$AJ$17)/B58,""))</f>
        <v>0.785068816872761</v>
      </c>
      <c r="E58" s="60" t="n">
        <f aca="false">IF(B58=0,"",IFERROR(SUMPRODUCT(Normalizacao!$AL$5:$AL$17,Pesos_Indicadores!$I$5:$I$17,((Pesos_Indicadores!$B$5:$B$17=$A$10)*A58+(Pesos_Indicadores!$B$5:$B$17&lt;&gt;$A$10)*Pesos_Indicadores!$G$5:$G$17*(1-A58)/(1-$B$10)),Normalizacao!$AK$5:$AK$17)/B58,""))</f>
        <v>0.831714305113856</v>
      </c>
      <c r="F58" s="17" t="str">
        <f aca="false">IF(C58="","",IF(INDEX(C58:E58,$B$5)&gt;=MAX(C58:E58),$B$4,INDEX(Pontuacao!$A$29:$A$31,MATCH(MAX(C58:E58),C58:E58,0))))</f>
        <v>Microsoft Azure</v>
      </c>
      <c r="G58" s="43" t="str">
        <f aca="false">IF(OR(F58="",F58=$B$4,ABS(A58-$B$10)&lt;0.000000001),"",ABS(A58-$B$10))</f>
        <v/>
      </c>
      <c r="I58" s="60" t="n">
        <f aca="false">(ROW()-17)*$B$6</f>
        <v>0.205</v>
      </c>
      <c r="J58" s="43" t="n">
        <f aca="false">IFERROR(SUMPRODUCT(Normalizacao!$AL$5:$AL$17,Pesos_Indicadores!$I$5:$I$17,((Pesos_Indicadores!$B$5:$B$17=$A$11)*I58+(Pesos_Indicadores!$B$5:$B$17&lt;&gt;$A$11)*Pesos_Indicadores!$G$5:$G$17*(1-I58)/(1-$B$11))),0)</f>
        <v>0.952692307692308</v>
      </c>
      <c r="K58" s="60" t="n">
        <f aca="false">IF(J58=0,"",IFERROR(SUMPRODUCT(Normalizacao!$AL$5:$AL$17,Pesos_Indicadores!$I$5:$I$17,((Pesos_Indicadores!$B$5:$B$17=$A$11)*I58+(Pesos_Indicadores!$B$5:$B$17&lt;&gt;$A$11)*Pesos_Indicadores!$G$5:$G$17*(1-I58)/(1-$B$11)),Normalizacao!$AI$5:$AI$17)/J58,""))</f>
        <v>0.756682249002032</v>
      </c>
      <c r="L58" s="60" t="n">
        <f aca="false">IF(J58=0,"",IFERROR(SUMPRODUCT(Normalizacao!$AL$5:$AL$17,Pesos_Indicadores!$I$5:$I$17,((Pesos_Indicadores!$B$5:$B$17=$A$11)*I58+(Pesos_Indicadores!$B$5:$B$17&lt;&gt;$A$11)*Pesos_Indicadores!$G$5:$G$17*(1-I58)/(1-$B$11)),Normalizacao!$AJ$5:$AJ$17)/J58,""))</f>
        <v>0.778076229572941</v>
      </c>
      <c r="M58" s="60" t="n">
        <f aca="false">IF(J58=0,"",IFERROR(SUMPRODUCT(Normalizacao!$AL$5:$AL$17,Pesos_Indicadores!$I$5:$I$17,((Pesos_Indicadores!$B$5:$B$17=$A$11)*I58+(Pesos_Indicadores!$B$5:$B$17&lt;&gt;$A$11)*Pesos_Indicadores!$G$5:$G$17*(1-I58)/(1-$B$11)),Normalizacao!$AK$5:$AK$17)/J58,""))</f>
        <v>0.825400892304612</v>
      </c>
      <c r="N58" s="17" t="str">
        <f aca="false">IF(K58="","",IF(INDEX(K58:M58,$B$5)&gt;=MAX(K58:M58),$B$4,INDEX(Pontuacao!$A$29:$A$31,MATCH(MAX(K58:M58),K58:M58,0))))</f>
        <v>Microsoft Azure</v>
      </c>
      <c r="O58" s="43" t="str">
        <f aca="false">IF(OR(N58="",N58=$B$4,ABS(I58-$B$11)&lt;0.000000001),"",ABS(I58-$B$11))</f>
        <v/>
      </c>
      <c r="Q58" s="60" t="n">
        <f aca="false">(ROW()-17)*$B$6</f>
        <v>0.205</v>
      </c>
      <c r="R58" s="43" t="n">
        <f aca="false">IFERROR(SUMPRODUCT(Normalizacao!$AL$5:$AL$17,Pesos_Indicadores!$I$5:$I$17,((Pesos_Indicadores!$B$5:$B$17=$A$12)*Q58+(Pesos_Indicadores!$B$5:$B$17&lt;&gt;$A$12)*Pesos_Indicadores!$G$5:$G$17*(1-Q58)/(1-$B$12))),0)</f>
        <v>0.908269230769231</v>
      </c>
      <c r="S58" s="60" t="n">
        <f aca="false">IF(R58=0,"",IFERROR(SUMPRODUCT(Normalizacao!$AL$5:$AL$17,Pesos_Indicadores!$I$5:$I$17,((Pesos_Indicadores!$B$5:$B$17=$A$12)*Q58+(Pesos_Indicadores!$B$5:$B$17&lt;&gt;$A$12)*Pesos_Indicadores!$G$5:$G$17*(1-Q58)/(1-$B$12)),Normalizacao!$AI$5:$AI$17)/R58,""))</f>
        <v>0.731901187334389</v>
      </c>
      <c r="T58" s="60" t="n">
        <f aca="false">IF(R58=0,"",IFERROR(SUMPRODUCT(Normalizacao!$AL$5:$AL$17,Pesos_Indicadores!$I$5:$I$17,((Pesos_Indicadores!$B$5:$B$17=$A$12)*Q58+(Pesos_Indicadores!$B$5:$B$17&lt;&gt;$A$12)*Pesos_Indicadores!$G$5:$G$17*(1-Q58)/(1-$B$12)),Normalizacao!$AJ$5:$AJ$17)/R58,""))</f>
        <v>0.844102944425522</v>
      </c>
      <c r="U58" s="60" t="n">
        <f aca="false">IF(R58=0,"",IFERROR(SUMPRODUCT(Normalizacao!$AL$5:$AL$17,Pesos_Indicadores!$I$5:$I$17,((Pesos_Indicadores!$B$5:$B$17=$A$12)*Q58+(Pesos_Indicadores!$B$5:$B$17&lt;&gt;$A$12)*Pesos_Indicadores!$G$5:$G$17*(1-Q58)/(1-$B$12)),Normalizacao!$AK$5:$AK$17)/R58,""))</f>
        <v>0.860421616081786</v>
      </c>
      <c r="V58" s="17" t="str">
        <f aca="false">IF(S58="","",IF(INDEX(S58:U58,$B$5)&gt;=MAX(S58:U58),$B$4,INDEX(Pontuacao!$A$29:$A$31,MATCH(MAX(S58:U58),S58:U58,0))))</f>
        <v>Microsoft Azure</v>
      </c>
      <c r="W58" s="43" t="str">
        <f aca="false">IF(OR(V58="",V58=$B$4,ABS(Q58-$B$12)&lt;0.000000001),"",ABS(Q58-$B$12))</f>
        <v/>
      </c>
    </row>
    <row r="59" customFormat="false" ht="15" hidden="false" customHeight="true" outlineLevel="0" collapsed="false">
      <c r="A59" s="60" t="n">
        <f aca="false">(ROW()-17)*$B$6</f>
        <v>0.21</v>
      </c>
      <c r="B59" s="43" t="n">
        <f aca="false">IFERROR(SUMPRODUCT(Normalizacao!$AL$5:$AL$17,Pesos_Indicadores!$I$5:$I$17,((Pesos_Indicadores!$B$5:$B$17=$A$10)*A59+(Pesos_Indicadores!$B$5:$B$17&lt;&gt;$A$10)*Pesos_Indicadores!$G$5:$G$17*(1-A59)/(1-$B$10))),0)</f>
        <v>0.981769230769231</v>
      </c>
      <c r="C59" s="60" t="n">
        <f aca="false">IF(B59=0,"",IFERROR(SUMPRODUCT(Normalizacao!$AL$5:$AL$17,Pesos_Indicadores!$I$5:$I$17,((Pesos_Indicadores!$B$5:$B$17=$A$10)*A59+(Pesos_Indicadores!$B$5:$B$17&lt;&gt;$A$10)*Pesos_Indicadores!$G$5:$G$17*(1-A59)/(1-$B$10)),Normalizacao!$AI$5:$AI$17)/B59,""))</f>
        <v>0.730890149066837</v>
      </c>
      <c r="D59" s="60" t="n">
        <f aca="false">IF(B59=0,"",IFERROR(SUMPRODUCT(Normalizacao!$AL$5:$AL$17,Pesos_Indicadores!$I$5:$I$17,((Pesos_Indicadores!$B$5:$B$17=$A$10)*A59+(Pesos_Indicadores!$B$5:$B$17&lt;&gt;$A$10)*Pesos_Indicadores!$G$5:$G$17*(1-A59)/(1-$B$10)),Normalizacao!$AJ$5:$AJ$17)/B59,""))</f>
        <v>0.785728830621123</v>
      </c>
      <c r="E59" s="60" t="n">
        <f aca="false">IF(B59=0,"",IFERROR(SUMPRODUCT(Normalizacao!$AL$5:$AL$17,Pesos_Indicadores!$I$5:$I$17,((Pesos_Indicadores!$B$5:$B$17=$A$10)*A59+(Pesos_Indicadores!$B$5:$B$17&lt;&gt;$A$10)*Pesos_Indicadores!$G$5:$G$17*(1-A59)/(1-$B$10)),Normalizacao!$AK$5:$AK$17)/B59,""))</f>
        <v>0.832109658509532</v>
      </c>
      <c r="F59" s="17" t="str">
        <f aca="false">IF(C59="","",IF(INDEX(C59:E59,$B$5)&gt;=MAX(C59:E59),$B$4,INDEX(Pontuacao!$A$29:$A$31,MATCH(MAX(C59:E59),C59:E59,0))))</f>
        <v>Microsoft Azure</v>
      </c>
      <c r="G59" s="43" t="str">
        <f aca="false">IF(OR(F59="",F59=$B$4,ABS(A59-$B$10)&lt;0.000000001),"",ABS(A59-$B$10))</f>
        <v/>
      </c>
      <c r="I59" s="60" t="n">
        <f aca="false">(ROW()-17)*$B$6</f>
        <v>0.21</v>
      </c>
      <c r="J59" s="43" t="n">
        <f aca="false">IFERROR(SUMPRODUCT(Normalizacao!$AL$5:$AL$17,Pesos_Indicadores!$I$5:$I$17,((Pesos_Indicadores!$B$5:$B$17=$A$11)*I59+(Pesos_Indicadores!$B$5:$B$17&lt;&gt;$A$11)*Pesos_Indicadores!$G$5:$G$17*(1-I59)/(1-$B$11))),0)</f>
        <v>0.951538461538462</v>
      </c>
      <c r="K59" s="60" t="n">
        <f aca="false">IF(J59=0,"",IFERROR(SUMPRODUCT(Normalizacao!$AL$5:$AL$17,Pesos_Indicadores!$I$5:$I$17,((Pesos_Indicadores!$B$5:$B$17=$A$11)*I59+(Pesos_Indicadores!$B$5:$B$17&lt;&gt;$A$11)*Pesos_Indicadores!$G$5:$G$17*(1-I59)/(1-$B$11)),Normalizacao!$AI$5:$AI$17)/J59,""))</f>
        <v>0.757156706636896</v>
      </c>
      <c r="L59" s="60" t="n">
        <f aca="false">IF(J59=0,"",IFERROR(SUMPRODUCT(Normalizacao!$AL$5:$AL$17,Pesos_Indicadores!$I$5:$I$17,((Pesos_Indicadores!$B$5:$B$17=$A$11)*I59+(Pesos_Indicadores!$B$5:$B$17&lt;&gt;$A$11)*Pesos_Indicadores!$G$5:$G$17*(1-I59)/(1-$B$11)),Normalizacao!$AJ$5:$AJ$17)/J59,""))</f>
        <v>0.778441913289515</v>
      </c>
      <c r="M59" s="60" t="n">
        <f aca="false">IF(J59=0,"",IFERROR(SUMPRODUCT(Normalizacao!$AL$5:$AL$17,Pesos_Indicadores!$I$5:$I$17,((Pesos_Indicadores!$B$5:$B$17=$A$11)*I59+(Pesos_Indicadores!$B$5:$B$17&lt;&gt;$A$11)*Pesos_Indicadores!$G$5:$G$17*(1-I59)/(1-$B$11)),Normalizacao!$AK$5:$AK$17)/J59,""))</f>
        <v>0.825524131586562</v>
      </c>
      <c r="N59" s="17" t="str">
        <f aca="false">IF(K59="","",IF(INDEX(K59:M59,$B$5)&gt;=MAX(K59:M59),$B$4,INDEX(Pontuacao!$A$29:$A$31,MATCH(MAX(K59:M59),K59:M59,0))))</f>
        <v>Microsoft Azure</v>
      </c>
      <c r="O59" s="43" t="str">
        <f aca="false">IF(OR(N59="",N59=$B$4,ABS(I59-$B$11)&lt;0.000000001),"",ABS(I59-$B$11))</f>
        <v/>
      </c>
      <c r="Q59" s="60" t="n">
        <f aca="false">(ROW()-17)*$B$6</f>
        <v>0.21</v>
      </c>
      <c r="R59" s="43" t="n">
        <f aca="false">IFERROR(SUMPRODUCT(Normalizacao!$AL$5:$AL$17,Pesos_Indicadores!$I$5:$I$17,((Pesos_Indicadores!$B$5:$B$17=$A$12)*Q59+(Pesos_Indicadores!$B$5:$B$17&lt;&gt;$A$12)*Pesos_Indicadores!$G$5:$G$17*(1-Q59)/(1-$B$12))),0)</f>
        <v>0.908846153846154</v>
      </c>
      <c r="S59" s="60" t="n">
        <f aca="false">IF(R59=0,"",IFERROR(SUMPRODUCT(Normalizacao!$AL$5:$AL$17,Pesos_Indicadores!$I$5:$I$17,((Pesos_Indicadores!$B$5:$B$17=$A$12)*Q59+(Pesos_Indicadores!$B$5:$B$17&lt;&gt;$A$12)*Pesos_Indicadores!$G$5:$G$17*(1-Q59)/(1-$B$12)),Normalizacao!$AI$5:$AI$17)/R59,""))</f>
        <v>0.73202643296589</v>
      </c>
      <c r="T59" s="60" t="n">
        <f aca="false">IF(R59=0,"",IFERROR(SUMPRODUCT(Normalizacao!$AL$5:$AL$17,Pesos_Indicadores!$I$5:$I$17,((Pesos_Indicadores!$B$5:$B$17=$A$12)*Q59+(Pesos_Indicadores!$B$5:$B$17&lt;&gt;$A$12)*Pesos_Indicadores!$G$5:$G$17*(1-Q59)/(1-$B$12)),Normalizacao!$AJ$5:$AJ$17)/R59,""))</f>
        <v>0.843451742442363</v>
      </c>
      <c r="U59" s="60" t="n">
        <f aca="false">IF(R59=0,"",IFERROR(SUMPRODUCT(Normalizacao!$AL$5:$AL$17,Pesos_Indicadores!$I$5:$I$17,((Pesos_Indicadores!$B$5:$B$17=$A$12)*Q59+(Pesos_Indicadores!$B$5:$B$17&lt;&gt;$A$12)*Pesos_Indicadores!$G$5:$G$17*(1-Q59)/(1-$B$12)),Normalizacao!$AK$5:$AK$17)/R59,""))</f>
        <v>0.860089993605793</v>
      </c>
      <c r="V59" s="17" t="str">
        <f aca="false">IF(S59="","",IF(INDEX(S59:U59,$B$5)&gt;=MAX(S59:U59),$B$4,INDEX(Pontuacao!$A$29:$A$31,MATCH(MAX(S59:U59),S59:U59,0))))</f>
        <v>Microsoft Azure</v>
      </c>
      <c r="W59" s="43" t="str">
        <f aca="false">IF(OR(V59="",V59=$B$4,ABS(Q59-$B$12)&lt;0.000000001),"",ABS(Q59-$B$12))</f>
        <v/>
      </c>
    </row>
    <row r="60" customFormat="false" ht="15" hidden="false" customHeight="true" outlineLevel="0" collapsed="false">
      <c r="A60" s="60" t="n">
        <f aca="false">(ROW()-17)*$B$6</f>
        <v>0.215</v>
      </c>
      <c r="B60" s="43" t="n">
        <f aca="false">IFERROR(SUMPRODUCT(Normalizacao!$AL$5:$AL$17,Pesos_Indicadores!$I$5:$I$17,((Pesos_Indicadores!$B$5:$B$17=$A$10)*A60+(Pesos_Indicadores!$B$5:$B$17&lt;&gt;$A$10)*Pesos_Indicadores!$G$5:$G$17*(1-A60)/(1-$B$10))),0)</f>
        <v>0.981884615384616</v>
      </c>
      <c r="C60" s="60" t="n">
        <f aca="false">IF(B60=0,"",IFERROR(SUMPRODUCT(Normalizacao!$AL$5:$AL$17,Pesos_Indicadores!$I$5:$I$17,((Pesos_Indicadores!$B$5:$B$17=$A$10)*A60+(Pesos_Indicadores!$B$5:$B$17&lt;&gt;$A$10)*Pesos_Indicadores!$G$5:$G$17*(1-A60)/(1-$B$10)),Normalizacao!$AI$5:$AI$17)/B60,""))</f>
        <v>0.730250922516171</v>
      </c>
      <c r="D60" s="60" t="n">
        <f aca="false">IF(B60=0,"",IFERROR(SUMPRODUCT(Normalizacao!$AL$5:$AL$17,Pesos_Indicadores!$I$5:$I$17,((Pesos_Indicadores!$B$5:$B$17=$A$10)*A60+(Pesos_Indicadores!$B$5:$B$17&lt;&gt;$A$10)*Pesos_Indicadores!$G$5:$G$17*(1-A60)/(1-$B$10)),Normalizacao!$AJ$5:$AJ$17)/B60,""))</f>
        <v>0.786388689248544</v>
      </c>
      <c r="E60" s="60" t="n">
        <f aca="false">IF(B60=0,"",IFERROR(SUMPRODUCT(Normalizacao!$AL$5:$AL$17,Pesos_Indicadores!$I$5:$I$17,((Pesos_Indicadores!$B$5:$B$17=$A$10)*A60+(Pesos_Indicadores!$B$5:$B$17&lt;&gt;$A$10)*Pesos_Indicadores!$G$5:$G$17*(1-A60)/(1-$B$10)),Normalizacao!$AK$5:$AK$17)/B60,""))</f>
        <v>0.832504918986552</v>
      </c>
      <c r="F60" s="17" t="str">
        <f aca="false">IF(C60="","",IF(INDEX(C60:E60,$B$5)&gt;=MAX(C60:E60),$B$4,INDEX(Pontuacao!$A$29:$A$31,MATCH(MAX(C60:E60),C60:E60,0))))</f>
        <v>Microsoft Azure</v>
      </c>
      <c r="G60" s="43" t="str">
        <f aca="false">IF(OR(F60="",F60=$B$4,ABS(A60-$B$10)&lt;0.000000001),"",ABS(A60-$B$10))</f>
        <v/>
      </c>
      <c r="I60" s="60" t="n">
        <f aca="false">(ROW()-17)*$B$6</f>
        <v>0.215</v>
      </c>
      <c r="J60" s="43" t="n">
        <f aca="false">IFERROR(SUMPRODUCT(Normalizacao!$AL$5:$AL$17,Pesos_Indicadores!$I$5:$I$17,((Pesos_Indicadores!$B$5:$B$17=$A$11)*I60+(Pesos_Indicadores!$B$5:$B$17&lt;&gt;$A$11)*Pesos_Indicadores!$G$5:$G$17*(1-I60)/(1-$B$11))),0)</f>
        <v>0.950384615384616</v>
      </c>
      <c r="K60" s="60" t="n">
        <f aca="false">IF(J60=0,"",IFERROR(SUMPRODUCT(Normalizacao!$AL$5:$AL$17,Pesos_Indicadores!$I$5:$I$17,((Pesos_Indicadores!$B$5:$B$17=$A$11)*I60+(Pesos_Indicadores!$B$5:$B$17&lt;&gt;$A$11)*Pesos_Indicadores!$G$5:$G$17*(1-I60)/(1-$B$11)),Normalizacao!$AI$5:$AI$17)/J60,""))</f>
        <v>0.757632316334005</v>
      </c>
      <c r="L60" s="60" t="n">
        <f aca="false">IF(J60=0,"",IFERROR(SUMPRODUCT(Normalizacao!$AL$5:$AL$17,Pesos_Indicadores!$I$5:$I$17,((Pesos_Indicadores!$B$5:$B$17=$A$11)*I60+(Pesos_Indicadores!$B$5:$B$17&lt;&gt;$A$11)*Pesos_Indicadores!$G$5:$G$17*(1-I60)/(1-$B$11)),Normalizacao!$AJ$5:$AJ$17)/J60,""))</f>
        <v>0.778808484947126</v>
      </c>
      <c r="M60" s="60" t="n">
        <f aca="false">IF(J60=0,"",IFERROR(SUMPRODUCT(Normalizacao!$AL$5:$AL$17,Pesos_Indicadores!$I$5:$I$17,((Pesos_Indicadores!$B$5:$B$17=$A$11)*I60+(Pesos_Indicadores!$B$5:$B$17&lt;&gt;$A$11)*Pesos_Indicadores!$G$5:$G$17*(1-I60)/(1-$B$11)),Normalizacao!$AK$5:$AK$17)/J60,""))</f>
        <v>0.825647670114037</v>
      </c>
      <c r="N60" s="17" t="str">
        <f aca="false">IF(K60="","",IF(INDEX(K60:M60,$B$5)&gt;=MAX(K60:M60),$B$4,INDEX(Pontuacao!$A$29:$A$31,MATCH(MAX(K60:M60),K60:M60,0))))</f>
        <v>Microsoft Azure</v>
      </c>
      <c r="O60" s="43" t="str">
        <f aca="false">IF(OR(N60="",N60=$B$4,ABS(I60-$B$11)&lt;0.000000001),"",ABS(I60-$B$11))</f>
        <v/>
      </c>
      <c r="Q60" s="60" t="n">
        <f aca="false">(ROW()-17)*$B$6</f>
        <v>0.215</v>
      </c>
      <c r="R60" s="43" t="n">
        <f aca="false">IFERROR(SUMPRODUCT(Normalizacao!$AL$5:$AL$17,Pesos_Indicadores!$I$5:$I$17,((Pesos_Indicadores!$B$5:$B$17=$A$12)*Q60+(Pesos_Indicadores!$B$5:$B$17&lt;&gt;$A$12)*Pesos_Indicadores!$G$5:$G$17*(1-Q60)/(1-$B$12))),0)</f>
        <v>0.909423076923077</v>
      </c>
      <c r="S60" s="60" t="n">
        <f aca="false">IF(R60=0,"",IFERROR(SUMPRODUCT(Normalizacao!$AL$5:$AL$17,Pesos_Indicadores!$I$5:$I$17,((Pesos_Indicadores!$B$5:$B$17=$A$12)*Q60+(Pesos_Indicadores!$B$5:$B$17&lt;&gt;$A$12)*Pesos_Indicadores!$G$5:$G$17*(1-Q60)/(1-$B$12)),Normalizacao!$AI$5:$AI$17)/R60,""))</f>
        <v>0.732151519689844</v>
      </c>
      <c r="T60" s="60" t="n">
        <f aca="false">IF(R60=0,"",IFERROR(SUMPRODUCT(Normalizacao!$AL$5:$AL$17,Pesos_Indicadores!$I$5:$I$17,((Pesos_Indicadores!$B$5:$B$17=$A$12)*Q60+(Pesos_Indicadores!$B$5:$B$17&lt;&gt;$A$12)*Pesos_Indicadores!$G$5:$G$17*(1-Q60)/(1-$B$12)),Normalizacao!$AJ$5:$AJ$17)/R60,""))</f>
        <v>0.842801366682909</v>
      </c>
      <c r="U60" s="60" t="n">
        <f aca="false">IF(R60=0,"",IFERROR(SUMPRODUCT(Normalizacao!$AL$5:$AL$17,Pesos_Indicadores!$I$5:$I$17,((Pesos_Indicadores!$B$5:$B$17=$A$12)*Q60+(Pesos_Indicadores!$B$5:$B$17&lt;&gt;$A$12)*Pesos_Indicadores!$G$5:$G$17*(1-Q60)/(1-$B$12)),Normalizacao!$AK$5:$AK$17)/R60,""))</f>
        <v>0.859758791881514</v>
      </c>
      <c r="V60" s="17" t="str">
        <f aca="false">IF(S60="","",IF(INDEX(S60:U60,$B$5)&gt;=MAX(S60:U60),$B$4,INDEX(Pontuacao!$A$29:$A$31,MATCH(MAX(S60:U60),S60:U60,0))))</f>
        <v>Microsoft Azure</v>
      </c>
      <c r="W60" s="43" t="str">
        <f aca="false">IF(OR(V60="",V60=$B$4,ABS(Q60-$B$12)&lt;0.000000001),"",ABS(Q60-$B$12))</f>
        <v/>
      </c>
    </row>
    <row r="61" customFormat="false" ht="15" hidden="false" customHeight="true" outlineLevel="0" collapsed="false">
      <c r="A61" s="60" t="n">
        <f aca="false">(ROW()-17)*$B$6</f>
        <v>0.22</v>
      </c>
      <c r="B61" s="43" t="n">
        <f aca="false">IFERROR(SUMPRODUCT(Normalizacao!$AL$5:$AL$17,Pesos_Indicadores!$I$5:$I$17,((Pesos_Indicadores!$B$5:$B$17=$A$10)*A61+(Pesos_Indicadores!$B$5:$B$17&lt;&gt;$A$10)*Pesos_Indicadores!$G$5:$G$17*(1-A61)/(1-$B$10))),0)</f>
        <v>0.982</v>
      </c>
      <c r="C61" s="60" t="n">
        <f aca="false">IF(B61=0,"",IFERROR(SUMPRODUCT(Normalizacao!$AL$5:$AL$17,Pesos_Indicadores!$I$5:$I$17,((Pesos_Indicadores!$B$5:$B$17=$A$10)*A61+(Pesos_Indicadores!$B$5:$B$17&lt;&gt;$A$10)*Pesos_Indicadores!$G$5:$G$17*(1-A61)/(1-$B$10)),Normalizacao!$AI$5:$AI$17)/B61,""))</f>
        <v>0.729611846183244</v>
      </c>
      <c r="D61" s="60" t="n">
        <f aca="false">IF(B61=0,"",IFERROR(SUMPRODUCT(Normalizacao!$AL$5:$AL$17,Pesos_Indicadores!$I$5:$I$17,((Pesos_Indicadores!$B$5:$B$17=$A$10)*A61+(Pesos_Indicadores!$B$5:$B$17&lt;&gt;$A$10)*Pesos_Indicadores!$G$5:$G$17*(1-A61)/(1-$B$10)),Normalizacao!$AJ$5:$AJ$17)/B61,""))</f>
        <v>0.787048392809705</v>
      </c>
      <c r="E61" s="60" t="n">
        <f aca="false">IF(B61=0,"",IFERROR(SUMPRODUCT(Normalizacao!$AL$5:$AL$17,Pesos_Indicadores!$I$5:$I$17,((Pesos_Indicadores!$B$5:$B$17=$A$10)*A61+(Pesos_Indicadores!$B$5:$B$17&lt;&gt;$A$10)*Pesos_Indicadores!$G$5:$G$17*(1-A61)/(1-$B$10)),Normalizacao!$AK$5:$AK$17)/B61,""))</f>
        <v>0.832900086577669</v>
      </c>
      <c r="F61" s="17" t="str">
        <f aca="false">IF(C61="","",IF(INDEX(C61:E61,$B$5)&gt;=MAX(C61:E61),$B$4,INDEX(Pontuacao!$A$29:$A$31,MATCH(MAX(C61:E61),C61:E61,0))))</f>
        <v>Microsoft Azure</v>
      </c>
      <c r="G61" s="43" t="str">
        <f aca="false">IF(OR(F61="",F61=$B$4,ABS(A61-$B$10)&lt;0.000000001),"",ABS(A61-$B$10))</f>
        <v/>
      </c>
      <c r="I61" s="60" t="n">
        <f aca="false">(ROW()-17)*$B$6</f>
        <v>0.22</v>
      </c>
      <c r="J61" s="43" t="n">
        <f aca="false">IFERROR(SUMPRODUCT(Normalizacao!$AL$5:$AL$17,Pesos_Indicadores!$I$5:$I$17,((Pesos_Indicadores!$B$5:$B$17=$A$11)*I61+(Pesos_Indicadores!$B$5:$B$17&lt;&gt;$A$11)*Pesos_Indicadores!$G$5:$G$17*(1-I61)/(1-$B$11))),0)</f>
        <v>0.949230769230769</v>
      </c>
      <c r="K61" s="60" t="n">
        <f aca="false">IF(J61=0,"",IFERROR(SUMPRODUCT(Normalizacao!$AL$5:$AL$17,Pesos_Indicadores!$I$5:$I$17,((Pesos_Indicadores!$B$5:$B$17=$A$11)*I61+(Pesos_Indicadores!$B$5:$B$17&lt;&gt;$A$11)*Pesos_Indicadores!$G$5:$G$17*(1-I61)/(1-$B$11)),Normalizacao!$AI$5:$AI$17)/J61,""))</f>
        <v>0.75810908229456</v>
      </c>
      <c r="L61" s="60" t="n">
        <f aca="false">IF(J61=0,"",IFERROR(SUMPRODUCT(Normalizacao!$AL$5:$AL$17,Pesos_Indicadores!$I$5:$I$17,((Pesos_Indicadores!$B$5:$B$17=$A$11)*I61+(Pesos_Indicadores!$B$5:$B$17&lt;&gt;$A$11)*Pesos_Indicadores!$G$5:$G$17*(1-I61)/(1-$B$11)),Normalizacao!$AJ$5:$AJ$17)/J61,""))</f>
        <v>0.779175947783807</v>
      </c>
      <c r="M61" s="60" t="n">
        <f aca="false">IF(J61=0,"",IFERROR(SUMPRODUCT(Normalizacao!$AL$5:$AL$17,Pesos_Indicadores!$I$5:$I$17,((Pesos_Indicadores!$B$5:$B$17=$A$11)*I61+(Pesos_Indicadores!$B$5:$B$17&lt;&gt;$A$11)*Pesos_Indicadores!$G$5:$G$17*(1-I61)/(1-$B$11)),Normalizacao!$AK$5:$AK$17)/J61,""))</f>
        <v>0.825771508978289</v>
      </c>
      <c r="N61" s="17" t="str">
        <f aca="false">IF(K61="","",IF(INDEX(K61:M61,$B$5)&gt;=MAX(K61:M61),$B$4,INDEX(Pontuacao!$A$29:$A$31,MATCH(MAX(K61:M61),K61:M61,0))))</f>
        <v>Microsoft Azure</v>
      </c>
      <c r="O61" s="43" t="str">
        <f aca="false">IF(OR(N61="",N61=$B$4,ABS(I61-$B$11)&lt;0.000000001),"",ABS(I61-$B$11))</f>
        <v/>
      </c>
      <c r="Q61" s="60" t="n">
        <f aca="false">(ROW()-17)*$B$6</f>
        <v>0.22</v>
      </c>
      <c r="R61" s="43" t="n">
        <f aca="false">IFERROR(SUMPRODUCT(Normalizacao!$AL$5:$AL$17,Pesos_Indicadores!$I$5:$I$17,((Pesos_Indicadores!$B$5:$B$17=$A$12)*Q61+(Pesos_Indicadores!$B$5:$B$17&lt;&gt;$A$12)*Pesos_Indicadores!$G$5:$G$17*(1-Q61)/(1-$B$12))),0)</f>
        <v>0.91</v>
      </c>
      <c r="S61" s="60" t="n">
        <f aca="false">IF(R61=0,"",IFERROR(SUMPRODUCT(Normalizacao!$AL$5:$AL$17,Pesos_Indicadores!$I$5:$I$17,((Pesos_Indicadores!$B$5:$B$17=$A$12)*Q61+(Pesos_Indicadores!$B$5:$B$17&lt;&gt;$A$12)*Pesos_Indicadores!$G$5:$G$17*(1-Q61)/(1-$B$12)),Normalizacao!$AI$5:$AI$17)/R61,""))</f>
        <v>0.732276447808484</v>
      </c>
      <c r="T61" s="60" t="n">
        <f aca="false">IF(R61=0,"",IFERROR(SUMPRODUCT(Normalizacao!$AL$5:$AL$17,Pesos_Indicadores!$I$5:$I$17,((Pesos_Indicadores!$B$5:$B$17=$A$12)*Q61+(Pesos_Indicadores!$B$5:$B$17&lt;&gt;$A$12)*Pesos_Indicadores!$G$5:$G$17*(1-Q61)/(1-$B$12)),Normalizacao!$AJ$5:$AJ$17)/R61,""))</f>
        <v>0.842151815575729</v>
      </c>
      <c r="U61" s="60" t="n">
        <f aca="false">IF(R61=0,"",IFERROR(SUMPRODUCT(Normalizacao!$AL$5:$AL$17,Pesos_Indicadores!$I$5:$I$17,((Pesos_Indicadores!$B$5:$B$17=$A$12)*Q61+(Pesos_Indicadores!$B$5:$B$17&lt;&gt;$A$12)*Pesos_Indicadores!$G$5:$G$17*(1-Q61)/(1-$B$12)),Normalizacao!$AK$5:$AK$17)/R61,""))</f>
        <v>0.859428010108703</v>
      </c>
      <c r="V61" s="17" t="str">
        <f aca="false">IF(S61="","",IF(INDEX(S61:U61,$B$5)&gt;=MAX(S61:U61),$B$4,INDEX(Pontuacao!$A$29:$A$31,MATCH(MAX(S61:U61),S61:U61,0))))</f>
        <v>Microsoft Azure</v>
      </c>
      <c r="W61" s="43" t="str">
        <f aca="false">IF(OR(V61="",V61=$B$4,ABS(Q61-$B$12)&lt;0.000000001),"",ABS(Q61-$B$12))</f>
        <v/>
      </c>
    </row>
    <row r="62" customFormat="false" ht="15" hidden="false" customHeight="true" outlineLevel="0" collapsed="false">
      <c r="A62" s="60" t="n">
        <f aca="false">(ROW()-17)*$B$6</f>
        <v>0.225</v>
      </c>
      <c r="B62" s="43" t="n">
        <f aca="false">IFERROR(SUMPRODUCT(Normalizacao!$AL$5:$AL$17,Pesos_Indicadores!$I$5:$I$17,((Pesos_Indicadores!$B$5:$B$17=$A$10)*A62+(Pesos_Indicadores!$B$5:$B$17&lt;&gt;$A$10)*Pesos_Indicadores!$G$5:$G$17*(1-A62)/(1-$B$10))),0)</f>
        <v>0.982115384615385</v>
      </c>
      <c r="C62" s="60" t="n">
        <f aca="false">IF(B62=0,"",IFERROR(SUMPRODUCT(Normalizacao!$AL$5:$AL$17,Pesos_Indicadores!$I$5:$I$17,((Pesos_Indicadores!$B$5:$B$17=$A$10)*A62+(Pesos_Indicadores!$B$5:$B$17&lt;&gt;$A$10)*Pesos_Indicadores!$G$5:$G$17*(1-A62)/(1-$B$10)),Normalizacao!$AI$5:$AI$17)/B62,""))</f>
        <v>0.728972920015109</v>
      </c>
      <c r="D62" s="60" t="n">
        <f aca="false">IF(B62=0,"",IFERROR(SUMPRODUCT(Normalizacao!$AL$5:$AL$17,Pesos_Indicadores!$I$5:$I$17,((Pesos_Indicadores!$B$5:$B$17=$A$10)*A62+(Pesos_Indicadores!$B$5:$B$17&lt;&gt;$A$10)*Pesos_Indicadores!$G$5:$G$17*(1-A62)/(1-$B$10)),Normalizacao!$AJ$5:$AJ$17)/B62,""))</f>
        <v>0.78770794135926</v>
      </c>
      <c r="E62" s="60" t="n">
        <f aca="false">IF(B62=0,"",IFERROR(SUMPRODUCT(Normalizacao!$AL$5:$AL$17,Pesos_Indicadores!$I$5:$I$17,((Pesos_Indicadores!$B$5:$B$17=$A$10)*A62+(Pesos_Indicadores!$B$5:$B$17&lt;&gt;$A$10)*Pesos_Indicadores!$G$5:$G$17*(1-A62)/(1-$B$10)),Normalizacao!$AK$5:$AK$17)/B62,""))</f>
        <v>0.833295161315622</v>
      </c>
      <c r="F62" s="17" t="str">
        <f aca="false">IF(C62="","",IF(INDEX(C62:E62,$B$5)&gt;=MAX(C62:E62),$B$4,INDEX(Pontuacao!$A$29:$A$31,MATCH(MAX(C62:E62),C62:E62,0))))</f>
        <v>Microsoft Azure</v>
      </c>
      <c r="G62" s="43" t="str">
        <f aca="false">IF(OR(F62="",F62=$B$4,ABS(A62-$B$10)&lt;0.000000001),"",ABS(A62-$B$10))</f>
        <v/>
      </c>
      <c r="I62" s="60" t="n">
        <f aca="false">(ROW()-17)*$B$6</f>
        <v>0.225</v>
      </c>
      <c r="J62" s="43" t="n">
        <f aca="false">IFERROR(SUMPRODUCT(Normalizacao!$AL$5:$AL$17,Pesos_Indicadores!$I$5:$I$17,((Pesos_Indicadores!$B$5:$B$17=$A$11)*I62+(Pesos_Indicadores!$B$5:$B$17&lt;&gt;$A$11)*Pesos_Indicadores!$G$5:$G$17*(1-I62)/(1-$B$11))),0)</f>
        <v>0.948076923076923</v>
      </c>
      <c r="K62" s="60" t="n">
        <f aca="false">IF(J62=0,"",IFERROR(SUMPRODUCT(Normalizacao!$AL$5:$AL$17,Pesos_Indicadores!$I$5:$I$17,((Pesos_Indicadores!$B$5:$B$17=$A$11)*I62+(Pesos_Indicadores!$B$5:$B$17&lt;&gt;$A$11)*Pesos_Indicadores!$G$5:$G$17*(1-I62)/(1-$B$11)),Normalizacao!$AI$5:$AI$17)/J62,""))</f>
        <v>0.758587008740212</v>
      </c>
      <c r="L62" s="60" t="n">
        <f aca="false">IF(J62=0,"",IFERROR(SUMPRODUCT(Normalizacao!$AL$5:$AL$17,Pesos_Indicadores!$I$5:$I$17,((Pesos_Indicadores!$B$5:$B$17=$A$11)*I62+(Pesos_Indicadores!$B$5:$B$17&lt;&gt;$A$11)*Pesos_Indicadores!$G$5:$G$17*(1-I62)/(1-$B$11)),Normalizacao!$AJ$5:$AJ$17)/J62,""))</f>
        <v>0.779544305053356</v>
      </c>
      <c r="M62" s="60" t="n">
        <f aca="false">IF(J62=0,"",IFERROR(SUMPRODUCT(Normalizacao!$AL$5:$AL$17,Pesos_Indicadores!$I$5:$I$17,((Pesos_Indicadores!$B$5:$B$17=$A$11)*I62+(Pesos_Indicadores!$B$5:$B$17&lt;&gt;$A$11)*Pesos_Indicadores!$G$5:$G$17*(1-I62)/(1-$B$11)),Normalizacao!$AK$5:$AK$17)/J62,""))</f>
        <v>0.825895649275881</v>
      </c>
      <c r="N62" s="17" t="str">
        <f aca="false">IF(K62="","",IF(INDEX(K62:M62,$B$5)&gt;=MAX(K62:M62),$B$4,INDEX(Pontuacao!$A$29:$A$31,MATCH(MAX(K62:M62),K62:M62,0))))</f>
        <v>Microsoft Azure</v>
      </c>
      <c r="O62" s="43" t="str">
        <f aca="false">IF(OR(N62="",N62=$B$4,ABS(I62-$B$11)&lt;0.000000001),"",ABS(I62-$B$11))</f>
        <v/>
      </c>
      <c r="Q62" s="60" t="n">
        <f aca="false">(ROW()-17)*$B$6</f>
        <v>0.225</v>
      </c>
      <c r="R62" s="43" t="n">
        <f aca="false">IFERROR(SUMPRODUCT(Normalizacao!$AL$5:$AL$17,Pesos_Indicadores!$I$5:$I$17,((Pesos_Indicadores!$B$5:$B$17=$A$12)*Q62+(Pesos_Indicadores!$B$5:$B$17&lt;&gt;$A$12)*Pesos_Indicadores!$G$5:$G$17*(1-Q62)/(1-$B$12))),0)</f>
        <v>0.910576923076923</v>
      </c>
      <c r="S62" s="60" t="n">
        <f aca="false">IF(R62=0,"",IFERROR(SUMPRODUCT(Normalizacao!$AL$5:$AL$17,Pesos_Indicadores!$I$5:$I$17,((Pesos_Indicadores!$B$5:$B$17=$A$12)*Q62+(Pesos_Indicadores!$B$5:$B$17&lt;&gt;$A$12)*Pesos_Indicadores!$G$5:$G$17*(1-Q62)/(1-$B$12)),Normalizacao!$AI$5:$AI$17)/R62,""))</f>
        <v>0.732401217623279</v>
      </c>
      <c r="T62" s="60" t="n">
        <f aca="false">IF(R62=0,"",IFERROR(SUMPRODUCT(Normalizacao!$AL$5:$AL$17,Pesos_Indicadores!$I$5:$I$17,((Pesos_Indicadores!$B$5:$B$17=$A$12)*Q62+(Pesos_Indicadores!$B$5:$B$17&lt;&gt;$A$12)*Pesos_Indicadores!$G$5:$G$17*(1-Q62)/(1-$B$12)),Normalizacao!$AJ$5:$AJ$17)/R62,""))</f>
        <v>0.841503087553372</v>
      </c>
      <c r="U62" s="60" t="n">
        <f aca="false">IF(R62=0,"",IFERROR(SUMPRODUCT(Normalizacao!$AL$5:$AL$17,Pesos_Indicadores!$I$5:$I$17,((Pesos_Indicadores!$B$5:$B$17=$A$12)*Q62+(Pesos_Indicadores!$B$5:$B$17&lt;&gt;$A$12)*Pesos_Indicadores!$G$5:$G$17*(1-Q62)/(1-$B$12)),Normalizacao!$AK$5:$AK$17)/R62,""))</f>
        <v>0.859097647489142</v>
      </c>
      <c r="V62" s="17" t="str">
        <f aca="false">IF(S62="","",IF(INDEX(S62:U62,$B$5)&gt;=MAX(S62:U62),$B$4,INDEX(Pontuacao!$A$29:$A$31,MATCH(MAX(S62:U62),S62:U62,0))))</f>
        <v>Microsoft Azure</v>
      </c>
      <c r="W62" s="43" t="str">
        <f aca="false">IF(OR(V62="",V62=$B$4,ABS(Q62-$B$12)&lt;0.000000001),"",ABS(Q62-$B$12))</f>
        <v/>
      </c>
    </row>
    <row r="63" customFormat="false" ht="15" hidden="false" customHeight="true" outlineLevel="0" collapsed="false">
      <c r="A63" s="60" t="n">
        <f aca="false">(ROW()-17)*$B$6</f>
        <v>0.23</v>
      </c>
      <c r="B63" s="43" t="n">
        <f aca="false">IFERROR(SUMPRODUCT(Normalizacao!$AL$5:$AL$17,Pesos_Indicadores!$I$5:$I$17,((Pesos_Indicadores!$B$5:$B$17=$A$10)*A63+(Pesos_Indicadores!$B$5:$B$17&lt;&gt;$A$10)*Pesos_Indicadores!$G$5:$G$17*(1-A63)/(1-$B$10))),0)</f>
        <v>0.982230769230769</v>
      </c>
      <c r="C63" s="60" t="n">
        <f aca="false">IF(B63=0,"",IFERROR(SUMPRODUCT(Normalizacao!$AL$5:$AL$17,Pesos_Indicadores!$I$5:$I$17,((Pesos_Indicadores!$B$5:$B$17=$A$10)*A63+(Pesos_Indicadores!$B$5:$B$17&lt;&gt;$A$10)*Pesos_Indicadores!$G$5:$G$17*(1-A63)/(1-$B$10)),Normalizacao!$AI$5:$AI$17)/B63,""))</f>
        <v>0.728334143958848</v>
      </c>
      <c r="D63" s="60" t="n">
        <f aca="false">IF(B63=0,"",IFERROR(SUMPRODUCT(Normalizacao!$AL$5:$AL$17,Pesos_Indicadores!$I$5:$I$17,((Pesos_Indicadores!$B$5:$B$17=$A$10)*A63+(Pesos_Indicadores!$B$5:$B$17&lt;&gt;$A$10)*Pesos_Indicadores!$G$5:$G$17*(1-A63)/(1-$B$10)),Normalizacao!$AJ$5:$AJ$17)/B63,""))</f>
        <v>0.788367334951836</v>
      </c>
      <c r="E63" s="60" t="n">
        <f aca="false">IF(B63=0,"",IFERROR(SUMPRODUCT(Normalizacao!$AL$5:$AL$17,Pesos_Indicadores!$I$5:$I$17,((Pesos_Indicadores!$B$5:$B$17=$A$10)*A63+(Pesos_Indicadores!$B$5:$B$17&lt;&gt;$A$10)*Pesos_Indicadores!$G$5:$G$17*(1-A63)/(1-$B$10)),Normalizacao!$AK$5:$AK$17)/B63,""))</f>
        <v>0.833690143233134</v>
      </c>
      <c r="F63" s="17" t="str">
        <f aca="false">IF(C63="","",IF(INDEX(C63:E63,$B$5)&gt;=MAX(C63:E63),$B$4,INDEX(Pontuacao!$A$29:$A$31,MATCH(MAX(C63:E63),C63:E63,0))))</f>
        <v>Microsoft Azure</v>
      </c>
      <c r="G63" s="43" t="str">
        <f aca="false">IF(OR(F63="",F63=$B$4,ABS(A63-$B$10)&lt;0.000000001),"",ABS(A63-$B$10))</f>
        <v/>
      </c>
      <c r="I63" s="60" t="n">
        <f aca="false">(ROW()-17)*$B$6</f>
        <v>0.23</v>
      </c>
      <c r="J63" s="43" t="n">
        <f aca="false">IFERROR(SUMPRODUCT(Normalizacao!$AL$5:$AL$17,Pesos_Indicadores!$I$5:$I$17,((Pesos_Indicadores!$B$5:$B$17=$A$11)*I63+(Pesos_Indicadores!$B$5:$B$17&lt;&gt;$A$11)*Pesos_Indicadores!$G$5:$G$17*(1-I63)/(1-$B$11))),0)</f>
        <v>0.946923076923077</v>
      </c>
      <c r="K63" s="60" t="n">
        <f aca="false">IF(J63=0,"",IFERROR(SUMPRODUCT(Normalizacao!$AL$5:$AL$17,Pesos_Indicadores!$I$5:$I$17,((Pesos_Indicadores!$B$5:$B$17=$A$11)*I63+(Pesos_Indicadores!$B$5:$B$17&lt;&gt;$A$11)*Pesos_Indicadores!$G$5:$G$17*(1-I63)/(1-$B$11)),Normalizacao!$AI$5:$AI$17)/J63,""))</f>
        <v>0.759066099913189</v>
      </c>
      <c r="L63" s="60" t="n">
        <f aca="false">IF(J63=0,"",IFERROR(SUMPRODUCT(Normalizacao!$AL$5:$AL$17,Pesos_Indicadores!$I$5:$I$17,((Pesos_Indicadores!$B$5:$B$17=$A$11)*I63+(Pesos_Indicadores!$B$5:$B$17&lt;&gt;$A$11)*Pesos_Indicadores!$G$5:$G$17*(1-I63)/(1-$B$11)),Normalizacao!$AJ$5:$AJ$17)/J63,""))</f>
        <v>0.77991356002543</v>
      </c>
      <c r="M63" s="60" t="n">
        <f aca="false">IF(J63=0,"",IFERROR(SUMPRODUCT(Normalizacao!$AL$5:$AL$17,Pesos_Indicadores!$I$5:$I$17,((Pesos_Indicadores!$B$5:$B$17=$A$11)*I63+(Pesos_Indicadores!$B$5:$B$17&lt;&gt;$A$11)*Pesos_Indicadores!$G$5:$G$17*(1-I63)/(1-$B$11)),Normalizacao!$AK$5:$AK$17)/J63,""))</f>
        <v>0.826020092108724</v>
      </c>
      <c r="N63" s="17" t="str">
        <f aca="false">IF(K63="","",IF(INDEX(K63:M63,$B$5)&gt;=MAX(K63:M63),$B$4,INDEX(Pontuacao!$A$29:$A$31,MATCH(MAX(K63:M63),K63:M63,0))))</f>
        <v>Microsoft Azure</v>
      </c>
      <c r="O63" s="43" t="str">
        <f aca="false">IF(OR(N63="",N63=$B$4,ABS(I63-$B$11)&lt;0.000000001),"",ABS(I63-$B$11))</f>
        <v/>
      </c>
      <c r="Q63" s="60" t="n">
        <f aca="false">(ROW()-17)*$B$6</f>
        <v>0.23</v>
      </c>
      <c r="R63" s="43" t="n">
        <f aca="false">IFERROR(SUMPRODUCT(Normalizacao!$AL$5:$AL$17,Pesos_Indicadores!$I$5:$I$17,((Pesos_Indicadores!$B$5:$B$17=$A$12)*Q63+(Pesos_Indicadores!$B$5:$B$17&lt;&gt;$A$12)*Pesos_Indicadores!$G$5:$G$17*(1-Q63)/(1-$B$12))),0)</f>
        <v>0.911153846153846</v>
      </c>
      <c r="S63" s="60" t="n">
        <f aca="false">IF(R63=0,"",IFERROR(SUMPRODUCT(Normalizacao!$AL$5:$AL$17,Pesos_Indicadores!$I$5:$I$17,((Pesos_Indicadores!$B$5:$B$17=$A$12)*Q63+(Pesos_Indicadores!$B$5:$B$17&lt;&gt;$A$12)*Pesos_Indicadores!$G$5:$G$17*(1-Q63)/(1-$B$12)),Normalizacao!$AI$5:$AI$17)/R63,""))</f>
        <v>0.732525829434931</v>
      </c>
      <c r="T63" s="60" t="n">
        <f aca="false">IF(R63=0,"",IFERROR(SUMPRODUCT(Normalizacao!$AL$5:$AL$17,Pesos_Indicadores!$I$5:$I$17,((Pesos_Indicadores!$B$5:$B$17=$A$12)*Q63+(Pesos_Indicadores!$B$5:$B$17&lt;&gt;$A$12)*Pesos_Indicadores!$G$5:$G$17*(1-Q63)/(1-$B$12)),Normalizacao!$AJ$5:$AJ$17)/R63,""))</f>
        <v>0.840855181052361</v>
      </c>
      <c r="U63" s="60" t="n">
        <f aca="false">IF(R63=0,"",IFERROR(SUMPRODUCT(Normalizacao!$AL$5:$AL$17,Pesos_Indicadores!$I$5:$I$17,((Pesos_Indicadores!$B$5:$B$17=$A$12)*Q63+(Pesos_Indicadores!$B$5:$B$17&lt;&gt;$A$12)*Pesos_Indicadores!$G$5:$G$17*(1-Q63)/(1-$B$12)),Normalizacao!$AK$5:$AK$17)/R63,""))</f>
        <v>0.858767703226633</v>
      </c>
      <c r="V63" s="17" t="str">
        <f aca="false">IF(S63="","",IF(INDEX(S63:U63,$B$5)&gt;=MAX(S63:U63),$B$4,INDEX(Pontuacao!$A$29:$A$31,MATCH(MAX(S63:U63),S63:U63,0))))</f>
        <v>Microsoft Azure</v>
      </c>
      <c r="W63" s="43" t="str">
        <f aca="false">IF(OR(V63="",V63=$B$4,ABS(Q63-$B$12)&lt;0.000000001),"",ABS(Q63-$B$12))</f>
        <v/>
      </c>
    </row>
    <row r="64" customFormat="false" ht="15" hidden="false" customHeight="true" outlineLevel="0" collapsed="false">
      <c r="A64" s="60" t="n">
        <f aca="false">(ROW()-17)*$B$6</f>
        <v>0.235</v>
      </c>
      <c r="B64" s="43" t="n">
        <f aca="false">IFERROR(SUMPRODUCT(Normalizacao!$AL$5:$AL$17,Pesos_Indicadores!$I$5:$I$17,((Pesos_Indicadores!$B$5:$B$17=$A$10)*A64+(Pesos_Indicadores!$B$5:$B$17&lt;&gt;$A$10)*Pesos_Indicadores!$G$5:$G$17*(1-A64)/(1-$B$10))),0)</f>
        <v>0.982346153846154</v>
      </c>
      <c r="C64" s="60" t="n">
        <f aca="false">IF(B64=0,"",IFERROR(SUMPRODUCT(Normalizacao!$AL$5:$AL$17,Pesos_Indicadores!$I$5:$I$17,((Pesos_Indicadores!$B$5:$B$17=$A$10)*A64+(Pesos_Indicadores!$B$5:$B$17&lt;&gt;$A$10)*Pesos_Indicadores!$G$5:$G$17*(1-A64)/(1-$B$10)),Normalizacao!$AI$5:$AI$17)/B64,""))</f>
        <v>0.727695517961564</v>
      </c>
      <c r="D64" s="60" t="n">
        <f aca="false">IF(B64=0,"",IFERROR(SUMPRODUCT(Normalizacao!$AL$5:$AL$17,Pesos_Indicadores!$I$5:$I$17,((Pesos_Indicadores!$B$5:$B$17=$A$10)*A64+(Pesos_Indicadores!$B$5:$B$17&lt;&gt;$A$10)*Pesos_Indicadores!$G$5:$G$17*(1-A64)/(1-$B$10)),Normalizacao!$AJ$5:$AJ$17)/B64,""))</f>
        <v>0.789026573642038</v>
      </c>
      <c r="E64" s="60" t="n">
        <f aca="false">IF(B64=0,"",IFERROR(SUMPRODUCT(Normalizacao!$AL$5:$AL$17,Pesos_Indicadores!$I$5:$I$17,((Pesos_Indicadores!$B$5:$B$17=$A$10)*A64+(Pesos_Indicadores!$B$5:$B$17&lt;&gt;$A$10)*Pesos_Indicadores!$G$5:$G$17*(1-A64)/(1-$B$10)),Normalizacao!$AK$5:$AK$17)/B64,""))</f>
        <v>0.834085032362913</v>
      </c>
      <c r="F64" s="17" t="str">
        <f aca="false">IF(C64="","",IF(INDEX(C64:E64,$B$5)&gt;=MAX(C64:E64),$B$4,INDEX(Pontuacao!$A$29:$A$31,MATCH(MAX(C64:E64),C64:E64,0))))</f>
        <v>Microsoft Azure</v>
      </c>
      <c r="G64" s="43" t="str">
        <f aca="false">IF(OR(F64="",F64=$B$4,ABS(A64-$B$10)&lt;0.000000001),"",ABS(A64-$B$10))</f>
        <v/>
      </c>
      <c r="I64" s="60" t="n">
        <f aca="false">(ROW()-17)*$B$6</f>
        <v>0.235</v>
      </c>
      <c r="J64" s="43" t="n">
        <f aca="false">IFERROR(SUMPRODUCT(Normalizacao!$AL$5:$AL$17,Pesos_Indicadores!$I$5:$I$17,((Pesos_Indicadores!$B$5:$B$17=$A$11)*I64+(Pesos_Indicadores!$B$5:$B$17&lt;&gt;$A$11)*Pesos_Indicadores!$G$5:$G$17*(1-I64)/(1-$B$11))),0)</f>
        <v>0.945769230769231</v>
      </c>
      <c r="K64" s="60" t="n">
        <f aca="false">IF(J64=0,"",IFERROR(SUMPRODUCT(Normalizacao!$AL$5:$AL$17,Pesos_Indicadores!$I$5:$I$17,((Pesos_Indicadores!$B$5:$B$17=$A$11)*I64+(Pesos_Indicadores!$B$5:$B$17&lt;&gt;$A$11)*Pesos_Indicadores!$G$5:$G$17*(1-I64)/(1-$B$11)),Normalizacao!$AI$5:$AI$17)/J64,""))</f>
        <v>0.75954636007642</v>
      </c>
      <c r="L64" s="60" t="n">
        <f aca="false">IF(J64=0,"",IFERROR(SUMPRODUCT(Normalizacao!$AL$5:$AL$17,Pesos_Indicadores!$I$5:$I$17,((Pesos_Indicadores!$B$5:$B$17=$A$11)*I64+(Pesos_Indicadores!$B$5:$B$17&lt;&gt;$A$11)*Pesos_Indicadores!$G$5:$G$17*(1-I64)/(1-$B$11)),Normalizacao!$AJ$5:$AJ$17)/J64,""))</f>
        <v>0.780283715985643</v>
      </c>
      <c r="M64" s="60" t="n">
        <f aca="false">IF(J64=0,"",IFERROR(SUMPRODUCT(Normalizacao!$AL$5:$AL$17,Pesos_Indicadores!$I$5:$I$17,((Pesos_Indicadores!$B$5:$B$17=$A$11)*I64+(Pesos_Indicadores!$B$5:$B$17&lt;&gt;$A$11)*Pesos_Indicadores!$G$5:$G$17*(1-I64)/(1-$B$11)),Normalizacao!$AK$5:$AK$17)/J64,""))</f>
        <v>0.826144838584102</v>
      </c>
      <c r="N64" s="17" t="str">
        <f aca="false">IF(K64="","",IF(INDEX(K64:M64,$B$5)&gt;=MAX(K64:M64),$B$4,INDEX(Pontuacao!$A$29:$A$31,MATCH(MAX(K64:M64),K64:M64,0))))</f>
        <v>Microsoft Azure</v>
      </c>
      <c r="O64" s="43" t="str">
        <f aca="false">IF(OR(N64="",N64=$B$4,ABS(I64-$B$11)&lt;0.000000001),"",ABS(I64-$B$11))</f>
        <v/>
      </c>
      <c r="Q64" s="60" t="n">
        <f aca="false">(ROW()-17)*$B$6</f>
        <v>0.235</v>
      </c>
      <c r="R64" s="43" t="n">
        <f aca="false">IFERROR(SUMPRODUCT(Normalizacao!$AL$5:$AL$17,Pesos_Indicadores!$I$5:$I$17,((Pesos_Indicadores!$B$5:$B$17=$A$12)*Q64+(Pesos_Indicadores!$B$5:$B$17&lt;&gt;$A$12)*Pesos_Indicadores!$G$5:$G$17*(1-Q64)/(1-$B$12))),0)</f>
        <v>0.911730769230769</v>
      </c>
      <c r="S64" s="60" t="n">
        <f aca="false">IF(R64=0,"",IFERROR(SUMPRODUCT(Normalizacao!$AL$5:$AL$17,Pesos_Indicadores!$I$5:$I$17,((Pesos_Indicadores!$B$5:$B$17=$A$12)*Q64+(Pesos_Indicadores!$B$5:$B$17&lt;&gt;$A$12)*Pesos_Indicadores!$G$5:$G$17*(1-Q64)/(1-$B$12)),Normalizacao!$AI$5:$AI$17)/R64,""))</f>
        <v>0.732650283543383</v>
      </c>
      <c r="T64" s="60" t="n">
        <f aca="false">IF(R64=0,"",IFERROR(SUMPRODUCT(Normalizacao!$AL$5:$AL$17,Pesos_Indicadores!$I$5:$I$17,((Pesos_Indicadores!$B$5:$B$17=$A$12)*Q64+(Pesos_Indicadores!$B$5:$B$17&lt;&gt;$A$12)*Pesos_Indicadores!$G$5:$G$17*(1-Q64)/(1-$B$12)),Normalizacao!$AJ$5:$AJ$17)/R64,""))</f>
        <v>0.840208094513174</v>
      </c>
      <c r="U64" s="60" t="n">
        <f aca="false">IF(R64=0,"",IFERROR(SUMPRODUCT(Normalizacao!$AL$5:$AL$17,Pesos_Indicadores!$I$5:$I$17,((Pesos_Indicadores!$B$5:$B$17=$A$12)*Q64+(Pesos_Indicadores!$B$5:$B$17&lt;&gt;$A$12)*Pesos_Indicadores!$G$5:$G$17*(1-Q64)/(1-$B$12)),Normalizacao!$AK$5:$AK$17)/R64,""))</f>
        <v>0.858438176526997</v>
      </c>
      <c r="V64" s="17" t="str">
        <f aca="false">IF(S64="","",IF(INDEX(S64:U64,$B$5)&gt;=MAX(S64:U64),$B$4,INDEX(Pontuacao!$A$29:$A$31,MATCH(MAX(S64:U64),S64:U64,0))))</f>
        <v>Microsoft Azure</v>
      </c>
      <c r="W64" s="43" t="str">
        <f aca="false">IF(OR(V64="",V64=$B$4,ABS(Q64-$B$12)&lt;0.000000001),"",ABS(Q64-$B$12))</f>
        <v/>
      </c>
    </row>
    <row r="65" customFormat="false" ht="15" hidden="false" customHeight="true" outlineLevel="0" collapsed="false">
      <c r="A65" s="60" t="n">
        <f aca="false">(ROW()-17)*$B$6</f>
        <v>0.24</v>
      </c>
      <c r="B65" s="43" t="n">
        <f aca="false">IFERROR(SUMPRODUCT(Normalizacao!$AL$5:$AL$17,Pesos_Indicadores!$I$5:$I$17,((Pesos_Indicadores!$B$5:$B$17=$A$10)*A65+(Pesos_Indicadores!$B$5:$B$17&lt;&gt;$A$10)*Pesos_Indicadores!$G$5:$G$17*(1-A65)/(1-$B$10))),0)</f>
        <v>0.982461538461539</v>
      </c>
      <c r="C65" s="60" t="n">
        <f aca="false">IF(B65=0,"",IFERROR(SUMPRODUCT(Normalizacao!$AL$5:$AL$17,Pesos_Indicadores!$I$5:$I$17,((Pesos_Indicadores!$B$5:$B$17=$A$10)*A65+(Pesos_Indicadores!$B$5:$B$17&lt;&gt;$A$10)*Pesos_Indicadores!$G$5:$G$17*(1-A65)/(1-$B$10)),Normalizacao!$AI$5:$AI$17)/B65,""))</f>
        <v>0.727057041970386</v>
      </c>
      <c r="D65" s="60" t="n">
        <f aca="false">IF(B65=0,"",IFERROR(SUMPRODUCT(Normalizacao!$AL$5:$AL$17,Pesos_Indicadores!$I$5:$I$17,((Pesos_Indicadores!$B$5:$B$17=$A$10)*A65+(Pesos_Indicadores!$B$5:$B$17&lt;&gt;$A$10)*Pesos_Indicadores!$G$5:$G$17*(1-A65)/(1-$B$10)),Normalizacao!$AJ$5:$AJ$17)/B65,""))</f>
        <v>0.789685657484443</v>
      </c>
      <c r="E65" s="60" t="n">
        <f aca="false">IF(B65=0,"",IFERROR(SUMPRODUCT(Normalizacao!$AL$5:$AL$17,Pesos_Indicadores!$I$5:$I$17,((Pesos_Indicadores!$B$5:$B$17=$A$10)*A65+(Pesos_Indicadores!$B$5:$B$17&lt;&gt;$A$10)*Pesos_Indicadores!$G$5:$G$17*(1-A65)/(1-$B$10)),Normalizacao!$AK$5:$AK$17)/B65,""))</f>
        <v>0.83447982873765</v>
      </c>
      <c r="F65" s="17" t="str">
        <f aca="false">IF(C65="","",IF(INDEX(C65:E65,$B$5)&gt;=MAX(C65:E65),$B$4,INDEX(Pontuacao!$A$29:$A$31,MATCH(MAX(C65:E65),C65:E65,0))))</f>
        <v>Microsoft Azure</v>
      </c>
      <c r="G65" s="43" t="str">
        <f aca="false">IF(OR(F65="",F65=$B$4,ABS(A65-$B$10)&lt;0.000000001),"",ABS(A65-$B$10))</f>
        <v/>
      </c>
      <c r="I65" s="60" t="n">
        <f aca="false">(ROW()-17)*$B$6</f>
        <v>0.24</v>
      </c>
      <c r="J65" s="43" t="n">
        <f aca="false">IFERROR(SUMPRODUCT(Normalizacao!$AL$5:$AL$17,Pesos_Indicadores!$I$5:$I$17,((Pesos_Indicadores!$B$5:$B$17=$A$11)*I65+(Pesos_Indicadores!$B$5:$B$17&lt;&gt;$A$11)*Pesos_Indicadores!$G$5:$G$17*(1-I65)/(1-$B$11))),0)</f>
        <v>0.944615384615385</v>
      </c>
      <c r="K65" s="60" t="n">
        <f aca="false">IF(J65=0,"",IFERROR(SUMPRODUCT(Normalizacao!$AL$5:$AL$17,Pesos_Indicadores!$I$5:$I$17,((Pesos_Indicadores!$B$5:$B$17=$A$11)*I65+(Pesos_Indicadores!$B$5:$B$17&lt;&gt;$A$11)*Pesos_Indicadores!$G$5:$G$17*(1-I65)/(1-$B$11)),Normalizacao!$AI$5:$AI$17)/J65,""))</f>
        <v>0.760027793513667</v>
      </c>
      <c r="L65" s="60" t="n">
        <f aca="false">IF(J65=0,"",IFERROR(SUMPRODUCT(Normalizacao!$AL$5:$AL$17,Pesos_Indicadores!$I$5:$I$17,((Pesos_Indicadores!$B$5:$B$17=$A$11)*I65+(Pesos_Indicadores!$B$5:$B$17&lt;&gt;$A$11)*Pesos_Indicadores!$G$5:$G$17*(1-I65)/(1-$B$11)),Normalizacao!$AJ$5:$AJ$17)/J65,""))</f>
        <v>0.780654776235661</v>
      </c>
      <c r="M65" s="60" t="n">
        <f aca="false">IF(J65=0,"",IFERROR(SUMPRODUCT(Normalizacao!$AL$5:$AL$17,Pesos_Indicadores!$I$5:$I$17,((Pesos_Indicadores!$B$5:$B$17=$A$11)*I65+(Pesos_Indicadores!$B$5:$B$17&lt;&gt;$A$11)*Pesos_Indicadores!$G$5:$G$17*(1-I65)/(1-$B$11)),Normalizacao!$AK$5:$AK$17)/J65,""))</f>
        <v>0.826269889814714</v>
      </c>
      <c r="N65" s="17" t="str">
        <f aca="false">IF(K65="","",IF(INDEX(K65:M65,$B$5)&gt;=MAX(K65:M65),$B$4,INDEX(Pontuacao!$A$29:$A$31,MATCH(MAX(K65:M65),K65:M65,0))))</f>
        <v>Microsoft Azure</v>
      </c>
      <c r="O65" s="43" t="str">
        <f aca="false">IF(OR(N65="",N65=$B$4,ABS(I65-$B$11)&lt;0.000000001),"",ABS(I65-$B$11))</f>
        <v/>
      </c>
      <c r="Q65" s="60" t="n">
        <f aca="false">(ROW()-17)*$B$6</f>
        <v>0.24</v>
      </c>
      <c r="R65" s="43" t="n">
        <f aca="false">IFERROR(SUMPRODUCT(Normalizacao!$AL$5:$AL$17,Pesos_Indicadores!$I$5:$I$17,((Pesos_Indicadores!$B$5:$B$17=$A$12)*Q65+(Pesos_Indicadores!$B$5:$B$17&lt;&gt;$A$12)*Pesos_Indicadores!$G$5:$G$17*(1-Q65)/(1-$B$12))),0)</f>
        <v>0.912307692307692</v>
      </c>
      <c r="S65" s="60" t="n">
        <f aca="false">IF(R65=0,"",IFERROR(SUMPRODUCT(Normalizacao!$AL$5:$AL$17,Pesos_Indicadores!$I$5:$I$17,((Pesos_Indicadores!$B$5:$B$17=$A$12)*Q65+(Pesos_Indicadores!$B$5:$B$17&lt;&gt;$A$12)*Pesos_Indicadores!$G$5:$G$17*(1-Q65)/(1-$B$12)),Normalizacao!$AI$5:$AI$17)/R65,""))</f>
        <v>0.732774580247819</v>
      </c>
      <c r="T65" s="60" t="n">
        <f aca="false">IF(R65=0,"",IFERROR(SUMPRODUCT(Normalizacao!$AL$5:$AL$17,Pesos_Indicadores!$I$5:$I$17,((Pesos_Indicadores!$B$5:$B$17=$A$12)*Q65+(Pesos_Indicadores!$B$5:$B$17&lt;&gt;$A$12)*Pesos_Indicadores!$G$5:$G$17*(1-Q65)/(1-$B$12)),Normalizacao!$AJ$5:$AJ$17)/R65,""))</f>
        <v>0.839561826380233</v>
      </c>
      <c r="U65" s="60" t="n">
        <f aca="false">IF(R65=0,"",IFERROR(SUMPRODUCT(Normalizacao!$AL$5:$AL$17,Pesos_Indicadores!$I$5:$I$17,((Pesos_Indicadores!$B$5:$B$17=$A$12)*Q65+(Pesos_Indicadores!$B$5:$B$17&lt;&gt;$A$12)*Pesos_Indicadores!$G$5:$G$17*(1-Q65)/(1-$B$12)),Normalizacao!$AK$5:$AK$17)/R65,""))</f>
        <v>0.85810906659806</v>
      </c>
      <c r="V65" s="17" t="str">
        <f aca="false">IF(S65="","",IF(INDEX(S65:U65,$B$5)&gt;=MAX(S65:U65),$B$4,INDEX(Pontuacao!$A$29:$A$31,MATCH(MAX(S65:U65),S65:U65,0))))</f>
        <v>Microsoft Azure</v>
      </c>
      <c r="W65" s="43" t="str">
        <f aca="false">IF(OR(V65="",V65=$B$4,ABS(Q65-$B$12)&lt;0.000000001),"",ABS(Q65-$B$12))</f>
        <v/>
      </c>
    </row>
    <row r="66" customFormat="false" ht="15" hidden="false" customHeight="true" outlineLevel="0" collapsed="false">
      <c r="A66" s="60" t="n">
        <f aca="false">(ROW()-17)*$B$6</f>
        <v>0.245</v>
      </c>
      <c r="B66" s="43" t="n">
        <f aca="false">IFERROR(SUMPRODUCT(Normalizacao!$AL$5:$AL$17,Pesos_Indicadores!$I$5:$I$17,((Pesos_Indicadores!$B$5:$B$17=$A$10)*A66+(Pesos_Indicadores!$B$5:$B$17&lt;&gt;$A$10)*Pesos_Indicadores!$G$5:$G$17*(1-A66)/(1-$B$10))),0)</f>
        <v>0.982576923076923</v>
      </c>
      <c r="C66" s="60" t="n">
        <f aca="false">IF(B66=0,"",IFERROR(SUMPRODUCT(Normalizacao!$AL$5:$AL$17,Pesos_Indicadores!$I$5:$I$17,((Pesos_Indicadores!$B$5:$B$17=$A$10)*A66+(Pesos_Indicadores!$B$5:$B$17&lt;&gt;$A$10)*Pesos_Indicadores!$G$5:$G$17*(1-A66)/(1-$B$10)),Normalizacao!$AI$5:$AI$17)/B66,""))</f>
        <v>0.726418715932469</v>
      </c>
      <c r="D66" s="60" t="n">
        <f aca="false">IF(B66=0,"",IFERROR(SUMPRODUCT(Normalizacao!$AL$5:$AL$17,Pesos_Indicadores!$I$5:$I$17,((Pesos_Indicadores!$B$5:$B$17=$A$10)*A66+(Pesos_Indicadores!$B$5:$B$17&lt;&gt;$A$10)*Pesos_Indicadores!$G$5:$G$17*(1-A66)/(1-$B$10)),Normalizacao!$AJ$5:$AJ$17)/B66,""))</f>
        <v>0.790344586533601</v>
      </c>
      <c r="E66" s="60" t="n">
        <f aca="false">IF(B66=0,"",IFERROR(SUMPRODUCT(Normalizacao!$AL$5:$AL$17,Pesos_Indicadores!$I$5:$I$17,((Pesos_Indicadores!$B$5:$B$17=$A$10)*A66+(Pesos_Indicadores!$B$5:$B$17&lt;&gt;$A$10)*Pesos_Indicadores!$G$5:$G$17*(1-A66)/(1-$B$10)),Normalizacao!$AK$5:$AK$17)/B66,""))</f>
        <v>0.834874532390022</v>
      </c>
      <c r="F66" s="17" t="str">
        <f aca="false">IF(C66="","",IF(INDEX(C66:E66,$B$5)&gt;=MAX(C66:E66),$B$4,INDEX(Pontuacao!$A$29:$A$31,MATCH(MAX(C66:E66),C66:E66,0))))</f>
        <v>Microsoft Azure</v>
      </c>
      <c r="G66" s="43" t="str">
        <f aca="false">IF(OR(F66="",F66=$B$4,ABS(A66-$B$10)&lt;0.000000001),"",ABS(A66-$B$10))</f>
        <v/>
      </c>
      <c r="I66" s="60" t="n">
        <f aca="false">(ROW()-17)*$B$6</f>
        <v>0.245</v>
      </c>
      <c r="J66" s="43" t="n">
        <f aca="false">IFERROR(SUMPRODUCT(Normalizacao!$AL$5:$AL$17,Pesos_Indicadores!$I$5:$I$17,((Pesos_Indicadores!$B$5:$B$17=$A$11)*I66+(Pesos_Indicadores!$B$5:$B$17&lt;&gt;$A$11)*Pesos_Indicadores!$G$5:$G$17*(1-I66)/(1-$B$11))),0)</f>
        <v>0.943461538461539</v>
      </c>
      <c r="K66" s="60" t="n">
        <f aca="false">IF(J66=0,"",IFERROR(SUMPRODUCT(Normalizacao!$AL$5:$AL$17,Pesos_Indicadores!$I$5:$I$17,((Pesos_Indicadores!$B$5:$B$17=$A$11)*I66+(Pesos_Indicadores!$B$5:$B$17&lt;&gt;$A$11)*Pesos_Indicadores!$G$5:$G$17*(1-I66)/(1-$B$11)),Normalizacao!$AI$5:$AI$17)/J66,""))</f>
        <v>0.760510404529643</v>
      </c>
      <c r="L66" s="60" t="n">
        <f aca="false">IF(J66=0,"",IFERROR(SUMPRODUCT(Normalizacao!$AL$5:$AL$17,Pesos_Indicadores!$I$5:$I$17,((Pesos_Indicadores!$B$5:$B$17=$A$11)*I66+(Pesos_Indicadores!$B$5:$B$17&lt;&gt;$A$11)*Pesos_Indicadores!$G$5:$G$17*(1-I66)/(1-$B$11)),Normalizacao!$AJ$5:$AJ$17)/J66,""))</f>
        <v>0.781026744093302</v>
      </c>
      <c r="M66" s="60" t="n">
        <f aca="false">IF(J66=0,"",IFERROR(SUMPRODUCT(Normalizacao!$AL$5:$AL$17,Pesos_Indicadores!$I$5:$I$17,((Pesos_Indicadores!$B$5:$B$17=$A$11)*I66+(Pesos_Indicadores!$B$5:$B$17&lt;&gt;$A$11)*Pesos_Indicadores!$G$5:$G$17*(1-I66)/(1-$B$11)),Normalizacao!$AK$5:$AK$17)/J66,""))</f>
        <v>0.826395246918699</v>
      </c>
      <c r="N66" s="17" t="str">
        <f aca="false">IF(K66="","",IF(INDEX(K66:M66,$B$5)&gt;=MAX(K66:M66),$B$4,INDEX(Pontuacao!$A$29:$A$31,MATCH(MAX(K66:M66),K66:M66,0))))</f>
        <v>Microsoft Azure</v>
      </c>
      <c r="O66" s="43" t="str">
        <f aca="false">IF(OR(N66="",N66=$B$4,ABS(I66-$B$11)&lt;0.000000001),"",ABS(I66-$B$11))</f>
        <v/>
      </c>
      <c r="Q66" s="60" t="n">
        <f aca="false">(ROW()-17)*$B$6</f>
        <v>0.245</v>
      </c>
      <c r="R66" s="43" t="n">
        <f aca="false">IFERROR(SUMPRODUCT(Normalizacao!$AL$5:$AL$17,Pesos_Indicadores!$I$5:$I$17,((Pesos_Indicadores!$B$5:$B$17=$A$12)*Q66+(Pesos_Indicadores!$B$5:$B$17&lt;&gt;$A$12)*Pesos_Indicadores!$G$5:$G$17*(1-Q66)/(1-$B$12))),0)</f>
        <v>0.912884615384616</v>
      </c>
      <c r="S66" s="60" t="n">
        <f aca="false">IF(R66=0,"",IFERROR(SUMPRODUCT(Normalizacao!$AL$5:$AL$17,Pesos_Indicadores!$I$5:$I$17,((Pesos_Indicadores!$B$5:$B$17=$A$12)*Q66+(Pesos_Indicadores!$B$5:$B$17&lt;&gt;$A$12)*Pesos_Indicadores!$G$5:$G$17*(1-Q66)/(1-$B$12)),Normalizacao!$AI$5:$AI$17)/R66,""))</f>
        <v>0.732898719846667</v>
      </c>
      <c r="T66" s="60" t="n">
        <f aca="false">IF(R66=0,"",IFERROR(SUMPRODUCT(Normalizacao!$AL$5:$AL$17,Pesos_Indicadores!$I$5:$I$17,((Pesos_Indicadores!$B$5:$B$17=$A$12)*Q66+(Pesos_Indicadores!$B$5:$B$17&lt;&gt;$A$12)*Pesos_Indicadores!$G$5:$G$17*(1-Q66)/(1-$B$12)),Normalizacao!$AJ$5:$AJ$17)/R66,""))</f>
        <v>0.838916375101895</v>
      </c>
      <c r="U66" s="60" t="n">
        <f aca="false">IF(R66=0,"",IFERROR(SUMPRODUCT(Normalizacao!$AL$5:$AL$17,Pesos_Indicadores!$I$5:$I$17,((Pesos_Indicadores!$B$5:$B$17=$A$12)*Q66+(Pesos_Indicadores!$B$5:$B$17&lt;&gt;$A$12)*Pesos_Indicadores!$G$5:$G$17*(1-Q66)/(1-$B$12)),Normalizacao!$AK$5:$AK$17)/R66,""))</f>
        <v>0.857780372649652</v>
      </c>
      <c r="V66" s="17" t="str">
        <f aca="false">IF(S66="","",IF(INDEX(S66:U66,$B$5)&gt;=MAX(S66:U66),$B$4,INDEX(Pontuacao!$A$29:$A$31,MATCH(MAX(S66:U66),S66:U66,0))))</f>
        <v>Microsoft Azure</v>
      </c>
      <c r="W66" s="43" t="str">
        <f aca="false">IF(OR(V66="",V66=$B$4,ABS(Q66-$B$12)&lt;0.000000001),"",ABS(Q66-$B$12))</f>
        <v/>
      </c>
    </row>
    <row r="67" customFormat="false" ht="15" hidden="false" customHeight="true" outlineLevel="0" collapsed="false">
      <c r="A67" s="60" t="n">
        <f aca="false">(ROW()-17)*$B$6</f>
        <v>0.25</v>
      </c>
      <c r="B67" s="43" t="n">
        <f aca="false">IFERROR(SUMPRODUCT(Normalizacao!$AL$5:$AL$17,Pesos_Indicadores!$I$5:$I$17,((Pesos_Indicadores!$B$5:$B$17=$A$10)*A67+(Pesos_Indicadores!$B$5:$B$17&lt;&gt;$A$10)*Pesos_Indicadores!$G$5:$G$17*(1-A67)/(1-$B$10))),0)</f>
        <v>0.982692307692308</v>
      </c>
      <c r="C67" s="60" t="n">
        <f aca="false">IF(B67=0,"",IFERROR(SUMPRODUCT(Normalizacao!$AL$5:$AL$17,Pesos_Indicadores!$I$5:$I$17,((Pesos_Indicadores!$B$5:$B$17=$A$10)*A67+(Pesos_Indicadores!$B$5:$B$17&lt;&gt;$A$10)*Pesos_Indicadores!$G$5:$G$17*(1-A67)/(1-$B$10)),Normalizacao!$AI$5:$AI$17)/B67,""))</f>
        <v>0.725780539794991</v>
      </c>
      <c r="D67" s="60" t="n">
        <f aca="false">IF(B67=0,"",IFERROR(SUMPRODUCT(Normalizacao!$AL$5:$AL$17,Pesos_Indicadores!$I$5:$I$17,((Pesos_Indicadores!$B$5:$B$17=$A$10)*A67+(Pesos_Indicadores!$B$5:$B$17&lt;&gt;$A$10)*Pesos_Indicadores!$G$5:$G$17*(1-A67)/(1-$B$10)),Normalizacao!$AJ$5:$AJ$17)/B67,""))</f>
        <v>0.79100336084404</v>
      </c>
      <c r="E67" s="60" t="n">
        <f aca="false">IF(B67=0,"",IFERROR(SUMPRODUCT(Normalizacao!$AL$5:$AL$17,Pesos_Indicadores!$I$5:$I$17,((Pesos_Indicadores!$B$5:$B$17=$A$10)*A67+(Pesos_Indicadores!$B$5:$B$17&lt;&gt;$A$10)*Pesos_Indicadores!$G$5:$G$17*(1-A67)/(1-$B$10)),Normalizacao!$AK$5:$AK$17)/B67,""))</f>
        <v>0.835269143352691</v>
      </c>
      <c r="F67" s="17" t="str">
        <f aca="false">IF(C67="","",IF(INDEX(C67:E67,$B$5)&gt;=MAX(C67:E67),$B$4,INDEX(Pontuacao!$A$29:$A$31,MATCH(MAX(C67:E67),C67:E67,0))))</f>
        <v>Microsoft Azure</v>
      </c>
      <c r="G67" s="43" t="str">
        <f aca="false">IF(OR(F67="",F67=$B$4,ABS(A67-$B$10)&lt;0.000000001),"",ABS(A67-$B$10))</f>
        <v/>
      </c>
      <c r="I67" s="60" t="n">
        <f aca="false">(ROW()-17)*$B$6</f>
        <v>0.25</v>
      </c>
      <c r="J67" s="43" t="n">
        <f aca="false">IFERROR(SUMPRODUCT(Normalizacao!$AL$5:$AL$17,Pesos_Indicadores!$I$5:$I$17,((Pesos_Indicadores!$B$5:$B$17=$A$11)*I67+(Pesos_Indicadores!$B$5:$B$17&lt;&gt;$A$11)*Pesos_Indicadores!$G$5:$G$17*(1-I67)/(1-$B$11))),0)</f>
        <v>0.942307692307692</v>
      </c>
      <c r="K67" s="60" t="n">
        <f aca="false">IF(J67=0,"",IFERROR(SUMPRODUCT(Normalizacao!$AL$5:$AL$17,Pesos_Indicadores!$I$5:$I$17,((Pesos_Indicadores!$B$5:$B$17=$A$11)*I67+(Pesos_Indicadores!$B$5:$B$17&lt;&gt;$A$11)*Pesos_Indicadores!$G$5:$G$17*(1-I67)/(1-$B$11)),Normalizacao!$AI$5:$AI$17)/J67,""))</f>
        <v>0.760994197450147</v>
      </c>
      <c r="L67" s="60" t="n">
        <f aca="false">IF(J67=0,"",IFERROR(SUMPRODUCT(Normalizacao!$AL$5:$AL$17,Pesos_Indicadores!$I$5:$I$17,((Pesos_Indicadores!$B$5:$B$17=$A$11)*I67+(Pesos_Indicadores!$B$5:$B$17&lt;&gt;$A$11)*Pesos_Indicadores!$G$5:$G$17*(1-I67)/(1-$B$11)),Normalizacao!$AJ$5:$AJ$17)/J67,""))</f>
        <v>0.781399622892635</v>
      </c>
      <c r="M67" s="60" t="n">
        <f aca="false">IF(J67=0,"",IFERROR(SUMPRODUCT(Normalizacao!$AL$5:$AL$17,Pesos_Indicadores!$I$5:$I$17,((Pesos_Indicadores!$B$5:$B$17=$A$11)*I67+(Pesos_Indicadores!$B$5:$B$17&lt;&gt;$A$11)*Pesos_Indicadores!$G$5:$G$17*(1-I67)/(1-$B$11)),Normalizacao!$AK$5:$AK$17)/J67,""))</f>
        <v>0.826520911019673</v>
      </c>
      <c r="N67" s="17" t="str">
        <f aca="false">IF(K67="","",IF(INDEX(K67:M67,$B$5)&gt;=MAX(K67:M67),$B$4,INDEX(Pontuacao!$A$29:$A$31,MATCH(MAX(K67:M67),K67:M67,0))))</f>
        <v>Microsoft Azure</v>
      </c>
      <c r="O67" s="43" t="str">
        <f aca="false">IF(OR(N67="",N67=$B$4,ABS(I67-$B$11)&lt;0.000000001),"",ABS(I67-$B$11))</f>
        <v/>
      </c>
      <c r="Q67" s="60" t="n">
        <f aca="false">(ROW()-17)*$B$6</f>
        <v>0.25</v>
      </c>
      <c r="R67" s="43" t="n">
        <f aca="false">IFERROR(SUMPRODUCT(Normalizacao!$AL$5:$AL$17,Pesos_Indicadores!$I$5:$I$17,((Pesos_Indicadores!$B$5:$B$17=$A$12)*Q67+(Pesos_Indicadores!$B$5:$B$17&lt;&gt;$A$12)*Pesos_Indicadores!$G$5:$G$17*(1-Q67)/(1-$B$12))),0)</f>
        <v>0.913461538461539</v>
      </c>
      <c r="S67" s="60" t="n">
        <f aca="false">IF(R67=0,"",IFERROR(SUMPRODUCT(Normalizacao!$AL$5:$AL$17,Pesos_Indicadores!$I$5:$I$17,((Pesos_Indicadores!$B$5:$B$17=$A$12)*Q67+(Pesos_Indicadores!$B$5:$B$17&lt;&gt;$A$12)*Pesos_Indicadores!$G$5:$G$17*(1-Q67)/(1-$B$12)),Normalizacao!$AI$5:$AI$17)/R67,""))</f>
        <v>0.733022702637601</v>
      </c>
      <c r="T67" s="60" t="n">
        <f aca="false">IF(R67=0,"",IFERROR(SUMPRODUCT(Normalizacao!$AL$5:$AL$17,Pesos_Indicadores!$I$5:$I$17,((Pesos_Indicadores!$B$5:$B$17=$A$12)*Q67+(Pesos_Indicadores!$B$5:$B$17&lt;&gt;$A$12)*Pesos_Indicadores!$G$5:$G$17*(1-Q67)/(1-$B$12)),Normalizacao!$AJ$5:$AJ$17)/R67,""))</f>
        <v>0.838271739130435</v>
      </c>
      <c r="U67" s="60" t="n">
        <f aca="false">IF(R67=0,"",IFERROR(SUMPRODUCT(Normalizacao!$AL$5:$AL$17,Pesos_Indicadores!$I$5:$I$17,((Pesos_Indicadores!$B$5:$B$17=$A$12)*Q67+(Pesos_Indicadores!$B$5:$B$17&lt;&gt;$A$12)*Pesos_Indicadores!$G$5:$G$17*(1-Q67)/(1-$B$12)),Normalizacao!$AK$5:$AK$17)/R67,""))</f>
        <v>0.8574520938936</v>
      </c>
      <c r="V67" s="17" t="str">
        <f aca="false">IF(S67="","",IF(INDEX(S67:U67,$B$5)&gt;=MAX(S67:U67),$B$4,INDEX(Pontuacao!$A$29:$A$31,MATCH(MAX(S67:U67),S67:U67,0))))</f>
        <v>Microsoft Azure</v>
      </c>
      <c r="W67" s="43" t="str">
        <f aca="false">IF(OR(V67="",V67=$B$4,ABS(Q67-$B$12)&lt;0.000000001),"",ABS(Q67-$B$12))</f>
        <v/>
      </c>
    </row>
    <row r="68" customFormat="false" ht="15" hidden="false" customHeight="true" outlineLevel="0" collapsed="false">
      <c r="A68" s="60" t="n">
        <f aca="false">(ROW()-17)*$B$6</f>
        <v>0.255</v>
      </c>
      <c r="B68" s="43" t="n">
        <f aca="false">IFERROR(SUMPRODUCT(Normalizacao!$AL$5:$AL$17,Pesos_Indicadores!$I$5:$I$17,((Pesos_Indicadores!$B$5:$B$17=$A$10)*A68+(Pesos_Indicadores!$B$5:$B$17&lt;&gt;$A$10)*Pesos_Indicadores!$G$5:$G$17*(1-A68)/(1-$B$10))),0)</f>
        <v>0.982807692307692</v>
      </c>
      <c r="C68" s="60" t="n">
        <f aca="false">IF(B68=0,"",IFERROR(SUMPRODUCT(Normalizacao!$AL$5:$AL$17,Pesos_Indicadores!$I$5:$I$17,((Pesos_Indicadores!$B$5:$B$17=$A$10)*A68+(Pesos_Indicadores!$B$5:$B$17&lt;&gt;$A$10)*Pesos_Indicadores!$G$5:$G$17*(1-A68)/(1-$B$10)),Normalizacao!$AI$5:$AI$17)/B68,""))</f>
        <v>0.725142513505156</v>
      </c>
      <c r="D68" s="60" t="n">
        <f aca="false">IF(B68=0,"",IFERROR(SUMPRODUCT(Normalizacao!$AL$5:$AL$17,Pesos_Indicadores!$I$5:$I$17,((Pesos_Indicadores!$B$5:$B$17=$A$10)*A68+(Pesos_Indicadores!$B$5:$B$17&lt;&gt;$A$10)*Pesos_Indicadores!$G$5:$G$17*(1-A68)/(1-$B$10)),Normalizacao!$AJ$5:$AJ$17)/B68,""))</f>
        <v>0.791661980470259</v>
      </c>
      <c r="E68" s="60" t="n">
        <f aca="false">IF(B68=0,"",IFERROR(SUMPRODUCT(Normalizacao!$AL$5:$AL$17,Pesos_Indicadores!$I$5:$I$17,((Pesos_Indicadores!$B$5:$B$17=$A$10)*A68+(Pesos_Indicadores!$B$5:$B$17&lt;&gt;$A$10)*Pesos_Indicadores!$G$5:$G$17*(1-A68)/(1-$B$10)),Normalizacao!$AK$5:$AK$17)/B68,""))</f>
        <v>0.835663661658304</v>
      </c>
      <c r="F68" s="17" t="str">
        <f aca="false">IF(C68="","",IF(INDEX(C68:E68,$B$5)&gt;=MAX(C68:E68),$B$4,INDEX(Pontuacao!$A$29:$A$31,MATCH(MAX(C68:E68),C68:E68,0))))</f>
        <v>Microsoft Azure</v>
      </c>
      <c r="G68" s="43" t="str">
        <f aca="false">IF(OR(F68="",F68=$B$4,ABS(A68-$B$10)&lt;0.000000001),"",ABS(A68-$B$10))</f>
        <v/>
      </c>
      <c r="I68" s="60" t="n">
        <f aca="false">(ROW()-17)*$B$6</f>
        <v>0.255</v>
      </c>
      <c r="J68" s="43" t="n">
        <f aca="false">IFERROR(SUMPRODUCT(Normalizacao!$AL$5:$AL$17,Pesos_Indicadores!$I$5:$I$17,((Pesos_Indicadores!$B$5:$B$17=$A$11)*I68+(Pesos_Indicadores!$B$5:$B$17&lt;&gt;$A$11)*Pesos_Indicadores!$G$5:$G$17*(1-I68)/(1-$B$11))),0)</f>
        <v>0.941153846153846</v>
      </c>
      <c r="K68" s="60" t="n">
        <f aca="false">IF(J68=0,"",IFERROR(SUMPRODUCT(Normalizacao!$AL$5:$AL$17,Pesos_Indicadores!$I$5:$I$17,((Pesos_Indicadores!$B$5:$B$17=$A$11)*I68+(Pesos_Indicadores!$B$5:$B$17&lt;&gt;$A$11)*Pesos_Indicadores!$G$5:$G$17*(1-I68)/(1-$B$11)),Normalizacao!$AI$5:$AI$17)/J68,""))</f>
        <v>0.761479176622194</v>
      </c>
      <c r="L68" s="60" t="n">
        <f aca="false">IF(J68=0,"",IFERROR(SUMPRODUCT(Normalizacao!$AL$5:$AL$17,Pesos_Indicadores!$I$5:$I$17,((Pesos_Indicadores!$B$5:$B$17=$A$11)*I68+(Pesos_Indicadores!$B$5:$B$17&lt;&gt;$A$11)*Pesos_Indicadores!$G$5:$G$17*(1-I68)/(1-$B$11)),Normalizacao!$AJ$5:$AJ$17)/J68,""))</f>
        <v>0.78177341598408</v>
      </c>
      <c r="M68" s="60" t="n">
        <f aca="false">IF(J68=0,"",IFERROR(SUMPRODUCT(Normalizacao!$AL$5:$AL$17,Pesos_Indicadores!$I$5:$I$17,((Pesos_Indicadores!$B$5:$B$17=$A$11)*I68+(Pesos_Indicadores!$B$5:$B$17&lt;&gt;$A$11)*Pesos_Indicadores!$G$5:$G$17*(1-I68)/(1-$B$11)),Normalizacao!$AK$5:$AK$17)/J68,""))</f>
        <v>0.826646883246764</v>
      </c>
      <c r="N68" s="17" t="str">
        <f aca="false">IF(K68="","",IF(INDEX(K68:M68,$B$5)&gt;=MAX(K68:M68),$B$4,INDEX(Pontuacao!$A$29:$A$31,MATCH(MAX(K68:M68),K68:M68,0))))</f>
        <v>Microsoft Azure</v>
      </c>
      <c r="O68" s="43" t="str">
        <f aca="false">IF(OR(N68="",N68=$B$4,ABS(I68-$B$11)&lt;0.000000001),"",ABS(I68-$B$11))</f>
        <v/>
      </c>
      <c r="Q68" s="60" t="n">
        <f aca="false">(ROW()-17)*$B$6</f>
        <v>0.255</v>
      </c>
      <c r="R68" s="43" t="n">
        <f aca="false">IFERROR(SUMPRODUCT(Normalizacao!$AL$5:$AL$17,Pesos_Indicadores!$I$5:$I$17,((Pesos_Indicadores!$B$5:$B$17=$A$12)*Q68+(Pesos_Indicadores!$B$5:$B$17&lt;&gt;$A$12)*Pesos_Indicadores!$G$5:$G$17*(1-Q68)/(1-$B$12))),0)</f>
        <v>0.914038461538462</v>
      </c>
      <c r="S68" s="60" t="n">
        <f aca="false">IF(R68=0,"",IFERROR(SUMPRODUCT(Normalizacao!$AL$5:$AL$17,Pesos_Indicadores!$I$5:$I$17,((Pesos_Indicadores!$B$5:$B$17=$A$12)*Q68+(Pesos_Indicadores!$B$5:$B$17&lt;&gt;$A$12)*Pesos_Indicadores!$G$5:$G$17*(1-Q68)/(1-$B$12)),Normalizacao!$AI$5:$AI$17)/R68,""))</f>
        <v>0.733146528917543</v>
      </c>
      <c r="T68" s="60" t="n">
        <f aca="false">IF(R68=0,"",IFERROR(SUMPRODUCT(Normalizacao!$AL$5:$AL$17,Pesos_Indicadores!$I$5:$I$17,((Pesos_Indicadores!$B$5:$B$17=$A$12)*Q68+(Pesos_Indicadores!$B$5:$B$17&lt;&gt;$A$12)*Pesos_Indicadores!$G$5:$G$17*(1-Q68)/(1-$B$12)),Normalizacao!$AJ$5:$AJ$17)/R68,""))</f>
        <v>0.837627916922035</v>
      </c>
      <c r="U68" s="60" t="n">
        <f aca="false">IF(R68=0,"",IFERROR(SUMPRODUCT(Normalizacao!$AL$5:$AL$17,Pesos_Indicadores!$I$5:$I$17,((Pesos_Indicadores!$B$5:$B$17=$A$12)*Q68+(Pesos_Indicadores!$B$5:$B$17&lt;&gt;$A$12)*Pesos_Indicadores!$G$5:$G$17*(1-Q68)/(1-$B$12)),Normalizacao!$AK$5:$AK$17)/R68,""))</f>
        <v>0.85712422954372</v>
      </c>
      <c r="V68" s="17" t="str">
        <f aca="false">IF(S68="","",IF(INDEX(S68:U68,$B$5)&gt;=MAX(S68:U68),$B$4,INDEX(Pontuacao!$A$29:$A$31,MATCH(MAX(S68:U68),S68:U68,0))))</f>
        <v>Microsoft Azure</v>
      </c>
      <c r="W68" s="43" t="str">
        <f aca="false">IF(OR(V68="",V68=$B$4,ABS(Q68-$B$12)&lt;0.000000001),"",ABS(Q68-$B$12))</f>
        <v/>
      </c>
    </row>
    <row r="69" customFormat="false" ht="15" hidden="false" customHeight="true" outlineLevel="0" collapsed="false">
      <c r="A69" s="60" t="n">
        <f aca="false">(ROW()-17)*$B$6</f>
        <v>0.26</v>
      </c>
      <c r="B69" s="43" t="n">
        <f aca="false">IFERROR(SUMPRODUCT(Normalizacao!$AL$5:$AL$17,Pesos_Indicadores!$I$5:$I$17,((Pesos_Indicadores!$B$5:$B$17=$A$10)*A69+(Pesos_Indicadores!$B$5:$B$17&lt;&gt;$A$10)*Pesos_Indicadores!$G$5:$G$17*(1-A69)/(1-$B$10))),0)</f>
        <v>0.982923076923077</v>
      </c>
      <c r="C69" s="60" t="n">
        <f aca="false">IF(B69=0,"",IFERROR(SUMPRODUCT(Normalizacao!$AL$5:$AL$17,Pesos_Indicadores!$I$5:$I$17,((Pesos_Indicadores!$B$5:$B$17=$A$10)*A69+(Pesos_Indicadores!$B$5:$B$17&lt;&gt;$A$10)*Pesos_Indicadores!$G$5:$G$17*(1-A69)/(1-$B$10)),Normalizacao!$AI$5:$AI$17)/B69,""))</f>
        <v>0.724504637010193</v>
      </c>
      <c r="D69" s="60" t="n">
        <f aca="false">IF(B69=0,"",IFERROR(SUMPRODUCT(Normalizacao!$AL$5:$AL$17,Pesos_Indicadores!$I$5:$I$17,((Pesos_Indicadores!$B$5:$B$17=$A$10)*A69+(Pesos_Indicadores!$B$5:$B$17&lt;&gt;$A$10)*Pesos_Indicadores!$G$5:$G$17*(1-A69)/(1-$B$10)),Normalizacao!$AJ$5:$AJ$17)/B69,""))</f>
        <v>0.792320445466733</v>
      </c>
      <c r="E69" s="60" t="n">
        <f aca="false">IF(B69=0,"",IFERROR(SUMPRODUCT(Normalizacao!$AL$5:$AL$17,Pesos_Indicadores!$I$5:$I$17,((Pesos_Indicadores!$B$5:$B$17=$A$10)*A69+(Pesos_Indicadores!$B$5:$B$17&lt;&gt;$A$10)*Pesos_Indicadores!$G$5:$G$17*(1-A69)/(1-$B$10)),Normalizacao!$AK$5:$AK$17)/B69,""))</f>
        <v>0.83605808733949</v>
      </c>
      <c r="F69" s="17" t="str">
        <f aca="false">IF(C69="","",IF(INDEX(C69:E69,$B$5)&gt;=MAX(C69:E69),$B$4,INDEX(Pontuacao!$A$29:$A$31,MATCH(MAX(C69:E69),C69:E69,0))))</f>
        <v>Microsoft Azure</v>
      </c>
      <c r="G69" s="43" t="str">
        <f aca="false">IF(OR(F69="",F69=$B$4,ABS(A69-$B$10)&lt;0.000000001),"",ABS(A69-$B$10))</f>
        <v/>
      </c>
      <c r="I69" s="60" t="n">
        <f aca="false">(ROW()-17)*$B$6</f>
        <v>0.26</v>
      </c>
      <c r="J69" s="43" t="n">
        <f aca="false">IFERROR(SUMPRODUCT(Normalizacao!$AL$5:$AL$17,Pesos_Indicadores!$I$5:$I$17,((Pesos_Indicadores!$B$5:$B$17=$A$11)*I69+(Pesos_Indicadores!$B$5:$B$17&lt;&gt;$A$11)*Pesos_Indicadores!$G$5:$G$17*(1-I69)/(1-$B$11))),0)</f>
        <v>0.94</v>
      </c>
      <c r="K69" s="60" t="n">
        <f aca="false">IF(J69=0,"",IFERROR(SUMPRODUCT(Normalizacao!$AL$5:$AL$17,Pesos_Indicadores!$I$5:$I$17,((Pesos_Indicadores!$B$5:$B$17=$A$11)*I69+(Pesos_Indicadores!$B$5:$B$17&lt;&gt;$A$11)*Pesos_Indicadores!$G$5:$G$17*(1-I69)/(1-$B$11)),Normalizacao!$AI$5:$AI$17)/J69,""))</f>
        <v>0.761965346414139</v>
      </c>
      <c r="L69" s="60" t="n">
        <f aca="false">IF(J69=0,"",IFERROR(SUMPRODUCT(Normalizacao!$AL$5:$AL$17,Pesos_Indicadores!$I$5:$I$17,((Pesos_Indicadores!$B$5:$B$17=$A$11)*I69+(Pesos_Indicadores!$B$5:$B$17&lt;&gt;$A$11)*Pesos_Indicadores!$G$5:$G$17*(1-I69)/(1-$B$11)),Normalizacao!$AJ$5:$AJ$17)/J69,""))</f>
        <v>0.782148126734505</v>
      </c>
      <c r="M69" s="60" t="n">
        <f aca="false">IF(J69=0,"",IFERROR(SUMPRODUCT(Normalizacao!$AL$5:$AL$17,Pesos_Indicadores!$I$5:$I$17,((Pesos_Indicadores!$B$5:$B$17=$A$11)*I69+(Pesos_Indicadores!$B$5:$B$17&lt;&gt;$A$11)*Pesos_Indicadores!$G$5:$G$17*(1-I69)/(1-$B$11)),Normalizacao!$AK$5:$AK$17)/J69,""))</f>
        <v>0.826773164734641</v>
      </c>
      <c r="N69" s="17" t="str">
        <f aca="false">IF(K69="","",IF(INDEX(K69:M69,$B$5)&gt;=MAX(K69:M69),$B$4,INDEX(Pontuacao!$A$29:$A$31,MATCH(MAX(K69:M69),K69:M69,0))))</f>
        <v>Microsoft Azure</v>
      </c>
      <c r="O69" s="43" t="str">
        <f aca="false">IF(OR(N69="",N69=$B$4,ABS(I69-$B$11)&lt;0.000000001),"",ABS(I69-$B$11))</f>
        <v/>
      </c>
      <c r="Q69" s="60" t="n">
        <f aca="false">(ROW()-17)*$B$6</f>
        <v>0.26</v>
      </c>
      <c r="R69" s="43" t="n">
        <f aca="false">IFERROR(SUMPRODUCT(Normalizacao!$AL$5:$AL$17,Pesos_Indicadores!$I$5:$I$17,((Pesos_Indicadores!$B$5:$B$17=$A$12)*Q69+(Pesos_Indicadores!$B$5:$B$17&lt;&gt;$A$12)*Pesos_Indicadores!$G$5:$G$17*(1-Q69)/(1-$B$12))),0)</f>
        <v>0.914615384615385</v>
      </c>
      <c r="S69" s="60" t="n">
        <f aca="false">IF(R69=0,"",IFERROR(SUMPRODUCT(Normalizacao!$AL$5:$AL$17,Pesos_Indicadores!$I$5:$I$17,((Pesos_Indicadores!$B$5:$B$17=$A$12)*Q69+(Pesos_Indicadores!$B$5:$B$17&lt;&gt;$A$12)*Pesos_Indicadores!$G$5:$G$17*(1-Q69)/(1-$B$12)),Normalizacao!$AI$5:$AI$17)/R69,""))</f>
        <v>0.733270198982665</v>
      </c>
      <c r="T69" s="60" t="n">
        <f aca="false">IF(R69=0,"",IFERROR(SUMPRODUCT(Normalizacao!$AL$5:$AL$17,Pesos_Indicadores!$I$5:$I$17,((Pesos_Indicadores!$B$5:$B$17=$A$12)*Q69+(Pesos_Indicadores!$B$5:$B$17&lt;&gt;$A$12)*Pesos_Indicadores!$G$5:$G$17*(1-Q69)/(1-$B$12)),Normalizacao!$AJ$5:$AJ$17)/R69,""))</f>
        <v>0.836984906936775</v>
      </c>
      <c r="U69" s="60" t="n">
        <f aca="false">IF(R69=0,"",IFERROR(SUMPRODUCT(Normalizacao!$AL$5:$AL$17,Pesos_Indicadores!$I$5:$I$17,((Pesos_Indicadores!$B$5:$B$17=$A$12)*Q69+(Pesos_Indicadores!$B$5:$B$17&lt;&gt;$A$12)*Pesos_Indicadores!$G$5:$G$17*(1-Q69)/(1-$B$12)),Normalizacao!$AK$5:$AK$17)/R69,""))</f>
        <v>0.856796778815813</v>
      </c>
      <c r="V69" s="17" t="str">
        <f aca="false">IF(S69="","",IF(INDEX(S69:U69,$B$5)&gt;=MAX(S69:U69),$B$4,INDEX(Pontuacao!$A$29:$A$31,MATCH(MAX(S69:U69),S69:U69,0))))</f>
        <v>Microsoft Azure</v>
      </c>
      <c r="W69" s="43" t="str">
        <f aca="false">IF(OR(V69="",V69=$B$4,ABS(Q69-$B$12)&lt;0.000000001),"",ABS(Q69-$B$12))</f>
        <v/>
      </c>
    </row>
    <row r="70" customFormat="false" ht="15" hidden="false" customHeight="true" outlineLevel="0" collapsed="false">
      <c r="A70" s="60" t="n">
        <f aca="false">(ROW()-17)*$B$6</f>
        <v>0.265</v>
      </c>
      <c r="B70" s="43" t="n">
        <f aca="false">IFERROR(SUMPRODUCT(Normalizacao!$AL$5:$AL$17,Pesos_Indicadores!$I$5:$I$17,((Pesos_Indicadores!$B$5:$B$17=$A$10)*A70+(Pesos_Indicadores!$B$5:$B$17&lt;&gt;$A$10)*Pesos_Indicadores!$G$5:$G$17*(1-A70)/(1-$B$10))),0)</f>
        <v>0.983038461538462</v>
      </c>
      <c r="C70" s="60" t="n">
        <f aca="false">IF(B70=0,"",IFERROR(SUMPRODUCT(Normalizacao!$AL$5:$AL$17,Pesos_Indicadores!$I$5:$I$17,((Pesos_Indicadores!$B$5:$B$17=$A$10)*A70+(Pesos_Indicadores!$B$5:$B$17&lt;&gt;$A$10)*Pesos_Indicadores!$G$5:$G$17*(1-A70)/(1-$B$10)),Normalizacao!$AI$5:$AI$17)/B70,""))</f>
        <v>0.723866910257355</v>
      </c>
      <c r="D70" s="60" t="n">
        <f aca="false">IF(B70=0,"",IFERROR(SUMPRODUCT(Normalizacao!$AL$5:$AL$17,Pesos_Indicadores!$I$5:$I$17,((Pesos_Indicadores!$B$5:$B$17=$A$10)*A70+(Pesos_Indicadores!$B$5:$B$17&lt;&gt;$A$10)*Pesos_Indicadores!$G$5:$G$17*(1-A70)/(1-$B$10)),Normalizacao!$AJ$5:$AJ$17)/B70,""))</f>
        <v>0.792978755887912</v>
      </c>
      <c r="E70" s="60" t="n">
        <f aca="false">IF(B70=0,"",IFERROR(SUMPRODUCT(Normalizacao!$AL$5:$AL$17,Pesos_Indicadores!$I$5:$I$17,((Pesos_Indicadores!$B$5:$B$17=$A$10)*A70+(Pesos_Indicadores!$B$5:$B$17&lt;&gt;$A$10)*Pesos_Indicadores!$G$5:$G$17*(1-A70)/(1-$B$10)),Normalizacao!$AK$5:$AK$17)/B70,""))</f>
        <v>0.836452420428866</v>
      </c>
      <c r="F70" s="17" t="str">
        <f aca="false">IF(C70="","",IF(INDEX(C70:E70,$B$5)&gt;=MAX(C70:E70),$B$4,INDEX(Pontuacao!$A$29:$A$31,MATCH(MAX(C70:E70),C70:E70,0))))</f>
        <v>Microsoft Azure</v>
      </c>
      <c r="G70" s="43" t="str">
        <f aca="false">IF(OR(F70="",F70=$B$4,ABS(A70-$B$10)&lt;0.000000001),"",ABS(A70-$B$10))</f>
        <v/>
      </c>
      <c r="I70" s="60" t="n">
        <f aca="false">(ROW()-17)*$B$6</f>
        <v>0.265</v>
      </c>
      <c r="J70" s="43" t="n">
        <f aca="false">IFERROR(SUMPRODUCT(Normalizacao!$AL$5:$AL$17,Pesos_Indicadores!$I$5:$I$17,((Pesos_Indicadores!$B$5:$B$17=$A$11)*I70+(Pesos_Indicadores!$B$5:$B$17&lt;&gt;$A$11)*Pesos_Indicadores!$G$5:$G$17*(1-I70)/(1-$B$11))),0)</f>
        <v>0.938846153846154</v>
      </c>
      <c r="K70" s="60" t="n">
        <f aca="false">IF(J70=0,"",IFERROR(SUMPRODUCT(Normalizacao!$AL$5:$AL$17,Pesos_Indicadores!$I$5:$I$17,((Pesos_Indicadores!$B$5:$B$17=$A$11)*I70+(Pesos_Indicadores!$B$5:$B$17&lt;&gt;$A$11)*Pesos_Indicadores!$G$5:$G$17*(1-I70)/(1-$B$11)),Normalizacao!$AI$5:$AI$17)/J70,""))</f>
        <v>0.762452711215815</v>
      </c>
      <c r="L70" s="60" t="n">
        <f aca="false">IF(J70=0,"",IFERROR(SUMPRODUCT(Normalizacao!$AL$5:$AL$17,Pesos_Indicadores!$I$5:$I$17,((Pesos_Indicadores!$B$5:$B$17=$A$11)*I70+(Pesos_Indicadores!$B$5:$B$17&lt;&gt;$A$11)*Pesos_Indicadores!$G$5:$G$17*(1-I70)/(1-$B$11)),Normalizacao!$AJ$5:$AJ$17)/J70,""))</f>
        <v>0.782523758527332</v>
      </c>
      <c r="M70" s="60" t="n">
        <f aca="false">IF(J70=0,"",IFERROR(SUMPRODUCT(Normalizacao!$AL$5:$AL$17,Pesos_Indicadores!$I$5:$I$17,((Pesos_Indicadores!$B$5:$B$17=$A$11)*I70+(Pesos_Indicadores!$B$5:$B$17&lt;&gt;$A$11)*Pesos_Indicadores!$G$5:$G$17*(1-I70)/(1-$B$11)),Normalizacao!$AK$5:$AK$17)/J70,""))</f>
        <v>0.826899756623553</v>
      </c>
      <c r="N70" s="17" t="str">
        <f aca="false">IF(K70="","",IF(INDEX(K70:M70,$B$5)&gt;=MAX(K70:M70),$B$4,INDEX(Pontuacao!$A$29:$A$31,MATCH(MAX(K70:M70),K70:M70,0))))</f>
        <v>Microsoft Azure</v>
      </c>
      <c r="O70" s="43" t="str">
        <f aca="false">IF(OR(N70="",N70=$B$4,ABS(I70-$B$11)&lt;0.000000001),"",ABS(I70-$B$11))</f>
        <v/>
      </c>
      <c r="Q70" s="60" t="n">
        <f aca="false">(ROW()-17)*$B$6</f>
        <v>0.265</v>
      </c>
      <c r="R70" s="43" t="n">
        <f aca="false">IFERROR(SUMPRODUCT(Normalizacao!$AL$5:$AL$17,Pesos_Indicadores!$I$5:$I$17,((Pesos_Indicadores!$B$5:$B$17=$A$12)*Q70+(Pesos_Indicadores!$B$5:$B$17&lt;&gt;$A$12)*Pesos_Indicadores!$G$5:$G$17*(1-Q70)/(1-$B$12))),0)</f>
        <v>0.915192307692308</v>
      </c>
      <c r="S70" s="60" t="n">
        <f aca="false">IF(R70=0,"",IFERROR(SUMPRODUCT(Normalizacao!$AL$5:$AL$17,Pesos_Indicadores!$I$5:$I$17,((Pesos_Indicadores!$B$5:$B$17=$A$12)*Q70+(Pesos_Indicadores!$B$5:$B$17&lt;&gt;$A$12)*Pesos_Indicadores!$G$5:$G$17*(1-Q70)/(1-$B$12)),Normalizacao!$AI$5:$AI$17)/R70,""))</f>
        <v>0.733393713128395</v>
      </c>
      <c r="T70" s="60" t="n">
        <f aca="false">IF(R70=0,"",IFERROR(SUMPRODUCT(Normalizacao!$AL$5:$AL$17,Pesos_Indicadores!$I$5:$I$17,((Pesos_Indicadores!$B$5:$B$17=$A$12)*Q70+(Pesos_Indicadores!$B$5:$B$17&lt;&gt;$A$12)*Pesos_Indicadores!$G$5:$G$17*(1-Q70)/(1-$B$12)),Normalizacao!$AJ$5:$AJ$17)/R70,""))</f>
        <v>0.836342707638616</v>
      </c>
      <c r="U70" s="60" t="n">
        <f aca="false">IF(R70=0,"",IFERROR(SUMPRODUCT(Normalizacao!$AL$5:$AL$17,Pesos_Indicadores!$I$5:$I$17,((Pesos_Indicadores!$B$5:$B$17=$A$12)*Q70+(Pesos_Indicadores!$B$5:$B$17&lt;&gt;$A$12)*Pesos_Indicadores!$G$5:$G$17*(1-Q70)/(1-$B$12)),Normalizacao!$AK$5:$AK$17)/R70,""))</f>
        <v>0.856469740927655</v>
      </c>
      <c r="V70" s="17" t="str">
        <f aca="false">IF(S70="","",IF(INDEX(S70:U70,$B$5)&gt;=MAX(S70:U70),$B$4,INDEX(Pontuacao!$A$29:$A$31,MATCH(MAX(S70:U70),S70:U70,0))))</f>
        <v>Microsoft Azure</v>
      </c>
      <c r="W70" s="43" t="str">
        <f aca="false">IF(OR(V70="",V70=$B$4,ABS(Q70-$B$12)&lt;0.000000001),"",ABS(Q70-$B$12))</f>
        <v/>
      </c>
    </row>
    <row r="71" customFormat="false" ht="15" hidden="false" customHeight="true" outlineLevel="0" collapsed="false">
      <c r="A71" s="60" t="n">
        <f aca="false">(ROW()-17)*$B$6</f>
        <v>0.27</v>
      </c>
      <c r="B71" s="43" t="n">
        <f aca="false">IFERROR(SUMPRODUCT(Normalizacao!$AL$5:$AL$17,Pesos_Indicadores!$I$5:$I$17,((Pesos_Indicadores!$B$5:$B$17=$A$10)*A71+(Pesos_Indicadores!$B$5:$B$17&lt;&gt;$A$10)*Pesos_Indicadores!$G$5:$G$17*(1-A71)/(1-$B$10))),0)</f>
        <v>0.983153846153846</v>
      </c>
      <c r="C71" s="60" t="n">
        <f aca="false">IF(B71=0,"",IFERROR(SUMPRODUCT(Normalizacao!$AL$5:$AL$17,Pesos_Indicadores!$I$5:$I$17,((Pesos_Indicadores!$B$5:$B$17=$A$10)*A71+(Pesos_Indicadores!$B$5:$B$17&lt;&gt;$A$10)*Pesos_Indicadores!$G$5:$G$17*(1-A71)/(1-$B$10)),Normalizacao!$AI$5:$AI$17)/B71,""))</f>
        <v>0.72322933319392</v>
      </c>
      <c r="D71" s="60" t="n">
        <f aca="false">IF(B71=0,"",IFERROR(SUMPRODUCT(Normalizacao!$AL$5:$AL$17,Pesos_Indicadores!$I$5:$I$17,((Pesos_Indicadores!$B$5:$B$17=$A$10)*A71+(Pesos_Indicadores!$B$5:$B$17&lt;&gt;$A$10)*Pesos_Indicadores!$G$5:$G$17*(1-A71)/(1-$B$10)),Normalizacao!$AJ$5:$AJ$17)/B71,""))</f>
        <v>0.793636911788218</v>
      </c>
      <c r="E71" s="60" t="n">
        <f aca="false">IF(B71=0,"",IFERROR(SUMPRODUCT(Normalizacao!$AL$5:$AL$17,Pesos_Indicadores!$I$5:$I$17,((Pesos_Indicadores!$B$5:$B$17=$A$10)*A71+(Pesos_Indicadores!$B$5:$B$17&lt;&gt;$A$10)*Pesos_Indicadores!$G$5:$G$17*(1-A71)/(1-$B$10)),Normalizacao!$AK$5:$AK$17)/B71,""))</f>
        <v>0.836846660959031</v>
      </c>
      <c r="F71" s="17" t="str">
        <f aca="false">IF(C71="","",IF(INDEX(C71:E71,$B$5)&gt;=MAX(C71:E71),$B$4,INDEX(Pontuacao!$A$29:$A$31,MATCH(MAX(C71:E71),C71:E71,0))))</f>
        <v>Microsoft Azure</v>
      </c>
      <c r="G71" s="43" t="str">
        <f aca="false">IF(OR(F71="",F71=$B$4,ABS(A71-$B$10)&lt;0.000000001),"",ABS(A71-$B$10))</f>
        <v/>
      </c>
      <c r="I71" s="60" t="n">
        <f aca="false">(ROW()-17)*$B$6</f>
        <v>0.27</v>
      </c>
      <c r="J71" s="43" t="n">
        <f aca="false">IFERROR(SUMPRODUCT(Normalizacao!$AL$5:$AL$17,Pesos_Indicadores!$I$5:$I$17,((Pesos_Indicadores!$B$5:$B$17=$A$11)*I71+(Pesos_Indicadores!$B$5:$B$17&lt;&gt;$A$11)*Pesos_Indicadores!$G$5:$G$17*(1-I71)/(1-$B$11))),0)</f>
        <v>0.937692307692308</v>
      </c>
      <c r="K71" s="60" t="n">
        <f aca="false">IF(J71=0,"",IFERROR(SUMPRODUCT(Normalizacao!$AL$5:$AL$17,Pesos_Indicadores!$I$5:$I$17,((Pesos_Indicadores!$B$5:$B$17=$A$11)*I71+(Pesos_Indicadores!$B$5:$B$17&lt;&gt;$A$11)*Pesos_Indicadores!$G$5:$G$17*(1-I71)/(1-$B$11)),Normalizacao!$AI$5:$AI$17)/J71,""))</f>
        <v>0.762941275438659</v>
      </c>
      <c r="L71" s="60" t="n">
        <f aca="false">IF(J71=0,"",IFERROR(SUMPRODUCT(Normalizacao!$AL$5:$AL$17,Pesos_Indicadores!$I$5:$I$17,((Pesos_Indicadores!$B$5:$B$17=$A$11)*I71+(Pesos_Indicadores!$B$5:$B$17&lt;&gt;$A$11)*Pesos_Indicadores!$G$5:$G$17*(1-I71)/(1-$B$11)),Normalizacao!$AJ$5:$AJ$17)/J71,""))</f>
        <v>0.782900314762635</v>
      </c>
      <c r="M71" s="60" t="n">
        <f aca="false">IF(J71=0,"",IFERROR(SUMPRODUCT(Normalizacao!$AL$5:$AL$17,Pesos_Indicadores!$I$5:$I$17,((Pesos_Indicadores!$B$5:$B$17=$A$11)*I71+(Pesos_Indicadores!$B$5:$B$17&lt;&gt;$A$11)*Pesos_Indicadores!$G$5:$G$17*(1-I71)/(1-$B$11)),Normalizacao!$AK$5:$AK$17)/J71,""))</f>
        <v>0.827026660059361</v>
      </c>
      <c r="N71" s="17" t="str">
        <f aca="false">IF(K71="","",IF(INDEX(K71:M71,$B$5)&gt;=MAX(K71:M71),$B$4,INDEX(Pontuacao!$A$29:$A$31,MATCH(MAX(K71:M71),K71:M71,0))))</f>
        <v>Microsoft Azure</v>
      </c>
      <c r="O71" s="43" t="str">
        <f aca="false">IF(OR(N71="",N71=$B$4,ABS(I71-$B$11)&lt;0.000000001),"",ABS(I71-$B$11))</f>
        <v/>
      </c>
      <c r="Q71" s="60" t="n">
        <f aca="false">(ROW()-17)*$B$6</f>
        <v>0.27</v>
      </c>
      <c r="R71" s="43" t="n">
        <f aca="false">IFERROR(SUMPRODUCT(Normalizacao!$AL$5:$AL$17,Pesos_Indicadores!$I$5:$I$17,((Pesos_Indicadores!$B$5:$B$17=$A$12)*Q71+(Pesos_Indicadores!$B$5:$B$17&lt;&gt;$A$12)*Pesos_Indicadores!$G$5:$G$17*(1-Q71)/(1-$B$12))),0)</f>
        <v>0.915769230769231</v>
      </c>
      <c r="S71" s="60" t="n">
        <f aca="false">IF(R71=0,"",IFERROR(SUMPRODUCT(Normalizacao!$AL$5:$AL$17,Pesos_Indicadores!$I$5:$I$17,((Pesos_Indicadores!$B$5:$B$17=$A$12)*Q71+(Pesos_Indicadores!$B$5:$B$17&lt;&gt;$A$12)*Pesos_Indicadores!$G$5:$G$17*(1-Q71)/(1-$B$12)),Normalizacao!$AI$5:$AI$17)/R71,""))</f>
        <v>0.733517071649414</v>
      </c>
      <c r="T71" s="60" t="n">
        <f aca="false">IF(R71=0,"",IFERROR(SUMPRODUCT(Normalizacao!$AL$5:$AL$17,Pesos_Indicadores!$I$5:$I$17,((Pesos_Indicadores!$B$5:$B$17=$A$12)*Q71+(Pesos_Indicadores!$B$5:$B$17&lt;&gt;$A$12)*Pesos_Indicadores!$G$5:$G$17*(1-Q71)/(1-$B$12)),Normalizacao!$AJ$5:$AJ$17)/R71,""))</f>
        <v>0.835701317495389</v>
      </c>
      <c r="U71" s="60" t="n">
        <f aca="false">IF(R71=0,"",IFERROR(SUMPRODUCT(Normalizacao!$AL$5:$AL$17,Pesos_Indicadores!$I$5:$I$17,((Pesos_Indicadores!$B$5:$B$17=$A$12)*Q71+(Pesos_Indicadores!$B$5:$B$17&lt;&gt;$A$12)*Pesos_Indicadores!$G$5:$G$17*(1-Q71)/(1-$B$12)),Normalizacao!$AK$5:$AK$17)/R71,""))</f>
        <v>0.856143115098994</v>
      </c>
      <c r="V71" s="17" t="str">
        <f aca="false">IF(S71="","",IF(INDEX(S71:U71,$B$5)&gt;=MAX(S71:U71),$B$4,INDEX(Pontuacao!$A$29:$A$31,MATCH(MAX(S71:U71),S71:U71,0))))</f>
        <v>Microsoft Azure</v>
      </c>
      <c r="W71" s="43" t="str">
        <f aca="false">IF(OR(V71="",V71=$B$4,ABS(Q71-$B$12)&lt;0.000000001),"",ABS(Q71-$B$12))</f>
        <v/>
      </c>
    </row>
    <row r="72" customFormat="false" ht="15" hidden="false" customHeight="true" outlineLevel="0" collapsed="false">
      <c r="A72" s="60" t="n">
        <f aca="false">(ROW()-17)*$B$6</f>
        <v>0.275</v>
      </c>
      <c r="B72" s="43" t="n">
        <f aca="false">IFERROR(SUMPRODUCT(Normalizacao!$AL$5:$AL$17,Pesos_Indicadores!$I$5:$I$17,((Pesos_Indicadores!$B$5:$B$17=$A$10)*A72+(Pesos_Indicadores!$B$5:$B$17&lt;&gt;$A$10)*Pesos_Indicadores!$G$5:$G$17*(1-A72)/(1-$B$10))),0)</f>
        <v>0.983269230769231</v>
      </c>
      <c r="C72" s="60" t="n">
        <f aca="false">IF(B72=0,"",IFERROR(SUMPRODUCT(Normalizacao!$AL$5:$AL$17,Pesos_Indicadores!$I$5:$I$17,((Pesos_Indicadores!$B$5:$B$17=$A$10)*A72+(Pesos_Indicadores!$B$5:$B$17&lt;&gt;$A$10)*Pesos_Indicadores!$G$5:$G$17*(1-A72)/(1-$B$10)),Normalizacao!$AI$5:$AI$17)/B72,""))</f>
        <v>0.72259190576719</v>
      </c>
      <c r="D72" s="60" t="n">
        <f aca="false">IF(B72=0,"",IFERROR(SUMPRODUCT(Normalizacao!$AL$5:$AL$17,Pesos_Indicadores!$I$5:$I$17,((Pesos_Indicadores!$B$5:$B$17=$A$10)*A72+(Pesos_Indicadores!$B$5:$B$17&lt;&gt;$A$10)*Pesos_Indicadores!$G$5:$G$17*(1-A72)/(1-$B$10)),Normalizacao!$AJ$5:$AJ$17)/B72,""))</f>
        <v>0.794294913222051</v>
      </c>
      <c r="E72" s="60" t="n">
        <f aca="false">IF(B72=0,"",IFERROR(SUMPRODUCT(Normalizacao!$AL$5:$AL$17,Pesos_Indicadores!$I$5:$I$17,((Pesos_Indicadores!$B$5:$B$17=$A$10)*A72+(Pesos_Indicadores!$B$5:$B$17&lt;&gt;$A$10)*Pesos_Indicadores!$G$5:$G$17*(1-A72)/(1-$B$10)),Normalizacao!$AK$5:$AK$17)/B72,""))</f>
        <v>0.837240808962571</v>
      </c>
      <c r="F72" s="17" t="str">
        <f aca="false">IF(C72="","",IF(INDEX(C72:E72,$B$5)&gt;=MAX(C72:E72),$B$4,INDEX(Pontuacao!$A$29:$A$31,MATCH(MAX(C72:E72),C72:E72,0))))</f>
        <v>Microsoft Azure</v>
      </c>
      <c r="G72" s="43" t="str">
        <f aca="false">IF(OR(F72="",F72=$B$4,ABS(A72-$B$10)&lt;0.000000001),"",ABS(A72-$B$10))</f>
        <v/>
      </c>
      <c r="I72" s="60" t="n">
        <f aca="false">(ROW()-17)*$B$6</f>
        <v>0.275</v>
      </c>
      <c r="J72" s="43" t="n">
        <f aca="false">IFERROR(SUMPRODUCT(Normalizacao!$AL$5:$AL$17,Pesos_Indicadores!$I$5:$I$17,((Pesos_Indicadores!$B$5:$B$17=$A$11)*I72+(Pesos_Indicadores!$B$5:$B$17&lt;&gt;$A$11)*Pesos_Indicadores!$G$5:$G$17*(1-I72)/(1-$B$11))),0)</f>
        <v>0.936538461538462</v>
      </c>
      <c r="K72" s="60" t="n">
        <f aca="false">IF(J72=0,"",IFERROR(SUMPRODUCT(Normalizacao!$AL$5:$AL$17,Pesos_Indicadores!$I$5:$I$17,((Pesos_Indicadores!$B$5:$B$17=$A$11)*I72+(Pesos_Indicadores!$B$5:$B$17&lt;&gt;$A$11)*Pesos_Indicadores!$G$5:$G$17*(1-I72)/(1-$B$11)),Normalizacao!$AI$5:$AI$17)/J72,""))</f>
        <v>0.763431043515852</v>
      </c>
      <c r="L72" s="60" t="n">
        <f aca="false">IF(J72=0,"",IFERROR(SUMPRODUCT(Normalizacao!$AL$5:$AL$17,Pesos_Indicadores!$I$5:$I$17,((Pesos_Indicadores!$B$5:$B$17=$A$11)*I72+(Pesos_Indicadores!$B$5:$B$17&lt;&gt;$A$11)*Pesos_Indicadores!$G$5:$G$17*(1-I72)/(1-$B$11)),Normalizacao!$AJ$5:$AJ$17)/J72,""))</f>
        <v>0.783277798857245</v>
      </c>
      <c r="M72" s="60" t="n">
        <f aca="false">IF(J72=0,"",IFERROR(SUMPRODUCT(Normalizacao!$AL$5:$AL$17,Pesos_Indicadores!$I$5:$I$17,((Pesos_Indicadores!$B$5:$B$17=$A$11)*I72+(Pesos_Indicadores!$B$5:$B$17&lt;&gt;$A$11)*Pesos_Indicadores!$G$5:$G$17*(1-I72)/(1-$B$11)),Normalizacao!$AK$5:$AK$17)/J72,""))</f>
        <v>0.827153876193574</v>
      </c>
      <c r="N72" s="17" t="str">
        <f aca="false">IF(K72="","",IF(INDEX(K72:M72,$B$5)&gt;=MAX(K72:M72),$B$4,INDEX(Pontuacao!$A$29:$A$31,MATCH(MAX(K72:M72),K72:M72,0))))</f>
        <v>Microsoft Azure</v>
      </c>
      <c r="O72" s="43" t="str">
        <f aca="false">IF(OR(N72="",N72=$B$4,ABS(I72-$B$11)&lt;0.000000001),"",ABS(I72-$B$11))</f>
        <v/>
      </c>
      <c r="Q72" s="60" t="n">
        <f aca="false">(ROW()-17)*$B$6</f>
        <v>0.275</v>
      </c>
      <c r="R72" s="43" t="n">
        <f aca="false">IFERROR(SUMPRODUCT(Normalizacao!$AL$5:$AL$17,Pesos_Indicadores!$I$5:$I$17,((Pesos_Indicadores!$B$5:$B$17=$A$12)*Q72+(Pesos_Indicadores!$B$5:$B$17&lt;&gt;$A$12)*Pesos_Indicadores!$G$5:$G$17*(1-Q72)/(1-$B$12))),0)</f>
        <v>0.916346153846154</v>
      </c>
      <c r="S72" s="60" t="n">
        <f aca="false">IF(R72=0,"",IFERROR(SUMPRODUCT(Normalizacao!$AL$5:$AL$17,Pesos_Indicadores!$I$5:$I$17,((Pesos_Indicadores!$B$5:$B$17=$A$12)*Q72+(Pesos_Indicadores!$B$5:$B$17&lt;&gt;$A$12)*Pesos_Indicadores!$G$5:$G$17*(1-Q72)/(1-$B$12)),Normalizacao!$AI$5:$AI$17)/R72,""))</f>
        <v>0.733640274839661</v>
      </c>
      <c r="T72" s="60" t="n">
        <f aca="false">IF(R72=0,"",IFERROR(SUMPRODUCT(Normalizacao!$AL$5:$AL$17,Pesos_Indicadores!$I$5:$I$17,((Pesos_Indicadores!$B$5:$B$17=$A$12)*Q72+(Pesos_Indicadores!$B$5:$B$17&lt;&gt;$A$12)*Pesos_Indicadores!$G$5:$G$17*(1-Q72)/(1-$B$12)),Normalizacao!$AJ$5:$AJ$17)/R72,""))</f>
        <v>0.835060734978786</v>
      </c>
      <c r="U72" s="60" t="n">
        <f aca="false">IF(R72=0,"",IFERROR(SUMPRODUCT(Normalizacao!$AL$5:$AL$17,Pesos_Indicadores!$I$5:$I$17,((Pesos_Indicadores!$B$5:$B$17=$A$12)*Q72+(Pesos_Indicadores!$B$5:$B$17&lt;&gt;$A$12)*Pesos_Indicadores!$G$5:$G$17*(1-Q72)/(1-$B$12)),Normalizacao!$AK$5:$AK$17)/R72,""))</f>
        <v>0.855816900551545</v>
      </c>
      <c r="V72" s="17" t="str">
        <f aca="false">IF(S72="","",IF(INDEX(S72:U72,$B$5)&gt;=MAX(S72:U72),$B$4,INDEX(Pontuacao!$A$29:$A$31,MATCH(MAX(S72:U72),S72:U72,0))))</f>
        <v>Microsoft Azure</v>
      </c>
      <c r="W72" s="43" t="str">
        <f aca="false">IF(OR(V72="",V72=$B$4,ABS(Q72-$B$12)&lt;0.000000001),"",ABS(Q72-$B$12))</f>
        <v/>
      </c>
    </row>
    <row r="73" customFormat="false" ht="15" hidden="false" customHeight="true" outlineLevel="0" collapsed="false">
      <c r="A73" s="60" t="n">
        <f aca="false">(ROW()-17)*$B$6</f>
        <v>0.28</v>
      </c>
      <c r="B73" s="43" t="n">
        <f aca="false">IFERROR(SUMPRODUCT(Normalizacao!$AL$5:$AL$17,Pesos_Indicadores!$I$5:$I$17,((Pesos_Indicadores!$B$5:$B$17=$A$10)*A73+(Pesos_Indicadores!$B$5:$B$17&lt;&gt;$A$10)*Pesos_Indicadores!$G$5:$G$17*(1-A73)/(1-$B$10))),0)</f>
        <v>0.983384615384615</v>
      </c>
      <c r="C73" s="60" t="n">
        <f aca="false">IF(B73=0,"",IFERROR(SUMPRODUCT(Normalizacao!$AL$5:$AL$17,Pesos_Indicadores!$I$5:$I$17,((Pesos_Indicadores!$B$5:$B$17=$A$10)*A73+(Pesos_Indicadores!$B$5:$B$17&lt;&gt;$A$10)*Pesos_Indicadores!$G$5:$G$17*(1-A73)/(1-$B$10)),Normalizacao!$AI$5:$AI$17)/B73,""))</f>
        <v>0.721954627924494</v>
      </c>
      <c r="D73" s="60" t="n">
        <f aca="false">IF(B73=0,"",IFERROR(SUMPRODUCT(Normalizacao!$AL$5:$AL$17,Pesos_Indicadores!$I$5:$I$17,((Pesos_Indicadores!$B$5:$B$17=$A$10)*A73+(Pesos_Indicadores!$B$5:$B$17&lt;&gt;$A$10)*Pesos_Indicadores!$G$5:$G$17*(1-A73)/(1-$B$10)),Normalizacao!$AJ$5:$AJ$17)/B73,""))</f>
        <v>0.794952760243783</v>
      </c>
      <c r="E73" s="60" t="n">
        <f aca="false">IF(B73=0,"",IFERROR(SUMPRODUCT(Normalizacao!$AL$5:$AL$17,Pesos_Indicadores!$I$5:$I$17,((Pesos_Indicadores!$B$5:$B$17=$A$10)*A73+(Pesos_Indicadores!$B$5:$B$17&lt;&gt;$A$10)*Pesos_Indicadores!$G$5:$G$17*(1-A73)/(1-$B$10)),Normalizacao!$AK$5:$AK$17)/B73,""))</f>
        <v>0.837634864472054</v>
      </c>
      <c r="F73" s="17" t="str">
        <f aca="false">IF(C73="","",IF(INDEX(C73:E73,$B$5)&gt;=MAX(C73:E73),$B$4,INDEX(Pontuacao!$A$29:$A$31,MATCH(MAX(C73:E73),C73:E73,0))))</f>
        <v>Microsoft Azure</v>
      </c>
      <c r="G73" s="43" t="str">
        <f aca="false">IF(OR(F73="",F73=$B$4,ABS(A73-$B$10)&lt;0.000000001),"",ABS(A73-$B$10))</f>
        <v/>
      </c>
      <c r="I73" s="60" t="n">
        <f aca="false">(ROW()-17)*$B$6</f>
        <v>0.28</v>
      </c>
      <c r="J73" s="43" t="n">
        <f aca="false">IFERROR(SUMPRODUCT(Normalizacao!$AL$5:$AL$17,Pesos_Indicadores!$I$5:$I$17,((Pesos_Indicadores!$B$5:$B$17=$A$11)*I73+(Pesos_Indicadores!$B$5:$B$17&lt;&gt;$A$11)*Pesos_Indicadores!$G$5:$G$17*(1-I73)/(1-$B$11))),0)</f>
        <v>0.935384615384616</v>
      </c>
      <c r="K73" s="60" t="n">
        <f aca="false">IF(J73=0,"",IFERROR(SUMPRODUCT(Normalizacao!$AL$5:$AL$17,Pesos_Indicadores!$I$5:$I$17,((Pesos_Indicadores!$B$5:$B$17=$A$11)*I73+(Pesos_Indicadores!$B$5:$B$17&lt;&gt;$A$11)*Pesos_Indicadores!$G$5:$G$17*(1-I73)/(1-$B$11)),Normalizacao!$AI$5:$AI$17)/J73,""))</f>
        <v>0.763922019902445</v>
      </c>
      <c r="L73" s="60" t="n">
        <f aca="false">IF(J73=0,"",IFERROR(SUMPRODUCT(Normalizacao!$AL$5:$AL$17,Pesos_Indicadores!$I$5:$I$17,((Pesos_Indicadores!$B$5:$B$17=$A$11)*I73+(Pesos_Indicadores!$B$5:$B$17&lt;&gt;$A$11)*Pesos_Indicadores!$G$5:$G$17*(1-I73)/(1-$B$11)),Normalizacao!$AJ$5:$AJ$17)/J73,""))</f>
        <v>0.783656214244851</v>
      </c>
      <c r="M73" s="60" t="n">
        <f aca="false">IF(J73=0,"",IFERROR(SUMPRODUCT(Normalizacao!$AL$5:$AL$17,Pesos_Indicadores!$I$5:$I$17,((Pesos_Indicadores!$B$5:$B$17=$A$11)*I73+(Pesos_Indicadores!$B$5:$B$17&lt;&gt;$A$11)*Pesos_Indicadores!$G$5:$G$17*(1-I73)/(1-$B$11)),Normalizacao!$AK$5:$AK$17)/J73,""))</f>
        <v>0.827281406183382</v>
      </c>
      <c r="N73" s="17" t="str">
        <f aca="false">IF(K73="","",IF(INDEX(K73:M73,$B$5)&gt;=MAX(K73:M73),$B$4,INDEX(Pontuacao!$A$29:$A$31,MATCH(MAX(K73:M73),K73:M73,0))))</f>
        <v>Microsoft Azure</v>
      </c>
      <c r="O73" s="43" t="str">
        <f aca="false">IF(OR(N73="",N73=$B$4,ABS(I73-$B$11)&lt;0.000000001),"",ABS(I73-$B$11))</f>
        <v/>
      </c>
      <c r="Q73" s="60" t="n">
        <f aca="false">(ROW()-17)*$B$6</f>
        <v>0.28</v>
      </c>
      <c r="R73" s="43" t="n">
        <f aca="false">IFERROR(SUMPRODUCT(Normalizacao!$AL$5:$AL$17,Pesos_Indicadores!$I$5:$I$17,((Pesos_Indicadores!$B$5:$B$17=$A$12)*Q73+(Pesos_Indicadores!$B$5:$B$17&lt;&gt;$A$12)*Pesos_Indicadores!$G$5:$G$17*(1-Q73)/(1-$B$12))),0)</f>
        <v>0.916923076923077</v>
      </c>
      <c r="S73" s="60" t="n">
        <f aca="false">IF(R73=0,"",IFERROR(SUMPRODUCT(Normalizacao!$AL$5:$AL$17,Pesos_Indicadores!$I$5:$I$17,((Pesos_Indicadores!$B$5:$B$17=$A$12)*Q73+(Pesos_Indicadores!$B$5:$B$17&lt;&gt;$A$12)*Pesos_Indicadores!$G$5:$G$17*(1-Q73)/(1-$B$12)),Normalizacao!$AI$5:$AI$17)/R73,""))</f>
        <v>0.733763322992336</v>
      </c>
      <c r="T73" s="60" t="n">
        <f aca="false">IF(R73=0,"",IFERROR(SUMPRODUCT(Normalizacao!$AL$5:$AL$17,Pesos_Indicadores!$I$5:$I$17,((Pesos_Indicadores!$B$5:$B$17=$A$12)*Q73+(Pesos_Indicadores!$B$5:$B$17&lt;&gt;$A$12)*Pesos_Indicadores!$G$5:$G$17*(1-Q73)/(1-$B$12)),Normalizacao!$AJ$5:$AJ$17)/R73,""))</f>
        <v>0.834420958564342</v>
      </c>
      <c r="U73" s="60" t="n">
        <f aca="false">IF(R73=0,"",IFERROR(SUMPRODUCT(Normalizacao!$AL$5:$AL$17,Pesos_Indicadores!$I$5:$I$17,((Pesos_Indicadores!$B$5:$B$17=$A$12)*Q73+(Pesos_Indicadores!$B$5:$B$17&lt;&gt;$A$12)*Pesos_Indicadores!$G$5:$G$17*(1-Q73)/(1-$B$12)),Normalizacao!$AK$5:$AK$17)/R73,""))</f>
        <v>0.85549109650898</v>
      </c>
      <c r="V73" s="17" t="str">
        <f aca="false">IF(S73="","",IF(INDEX(S73:U73,$B$5)&gt;=MAX(S73:U73),$B$4,INDEX(Pontuacao!$A$29:$A$31,MATCH(MAX(S73:U73),S73:U73,0))))</f>
        <v>Microsoft Azure</v>
      </c>
      <c r="W73" s="43" t="str">
        <f aca="false">IF(OR(V73="",V73=$B$4,ABS(Q73-$B$12)&lt;0.000000001),"",ABS(Q73-$B$12))</f>
        <v/>
      </c>
    </row>
    <row r="74" customFormat="false" ht="15" hidden="false" customHeight="true" outlineLevel="0" collapsed="false">
      <c r="A74" s="60" t="n">
        <f aca="false">(ROW()-17)*$B$6</f>
        <v>0.285</v>
      </c>
      <c r="B74" s="43" t="n">
        <f aca="false">IFERROR(SUMPRODUCT(Normalizacao!$AL$5:$AL$17,Pesos_Indicadores!$I$5:$I$17,((Pesos_Indicadores!$B$5:$B$17=$A$10)*A74+(Pesos_Indicadores!$B$5:$B$17&lt;&gt;$A$10)*Pesos_Indicadores!$G$5:$G$17*(1-A74)/(1-$B$10))),0)</f>
        <v>0.9835</v>
      </c>
      <c r="C74" s="60" t="n">
        <f aca="false">IF(B74=0,"",IFERROR(SUMPRODUCT(Normalizacao!$AL$5:$AL$17,Pesos_Indicadores!$I$5:$I$17,((Pesos_Indicadores!$B$5:$B$17=$A$10)*A74+(Pesos_Indicadores!$B$5:$B$17&lt;&gt;$A$10)*Pesos_Indicadores!$G$5:$G$17*(1-A74)/(1-$B$10)),Normalizacao!$AI$5:$AI$17)/B74,""))</f>
        <v>0.721317499613183</v>
      </c>
      <c r="D74" s="60" t="n">
        <f aca="false">IF(B74=0,"",IFERROR(SUMPRODUCT(Normalizacao!$AL$5:$AL$17,Pesos_Indicadores!$I$5:$I$17,((Pesos_Indicadores!$B$5:$B$17=$A$10)*A74+(Pesos_Indicadores!$B$5:$B$17&lt;&gt;$A$10)*Pesos_Indicadores!$G$5:$G$17*(1-A74)/(1-$B$10)),Normalizacao!$AJ$5:$AJ$17)/B74,""))</f>
        <v>0.795610452907761</v>
      </c>
      <c r="E74" s="60" t="n">
        <f aca="false">IF(B74=0,"",IFERROR(SUMPRODUCT(Normalizacao!$AL$5:$AL$17,Pesos_Indicadores!$I$5:$I$17,((Pesos_Indicadores!$B$5:$B$17=$A$10)*A74+(Pesos_Indicadores!$B$5:$B$17&lt;&gt;$A$10)*Pesos_Indicadores!$G$5:$G$17*(1-A74)/(1-$B$10)),Normalizacao!$AK$5:$AK$17)/B74,""))</f>
        <v>0.838028827520037</v>
      </c>
      <c r="F74" s="17" t="str">
        <f aca="false">IF(C74="","",IF(INDEX(C74:E74,$B$5)&gt;=MAX(C74:E74),$B$4,INDEX(Pontuacao!$A$29:$A$31,MATCH(MAX(C74:E74),C74:E74,0))))</f>
        <v>Microsoft Azure</v>
      </c>
      <c r="G74" s="43" t="str">
        <f aca="false">IF(OR(F74="",F74=$B$4,ABS(A74-$B$10)&lt;0.000000001),"",ABS(A74-$B$10))</f>
        <v/>
      </c>
      <c r="I74" s="60" t="n">
        <f aca="false">(ROW()-17)*$B$6</f>
        <v>0.285</v>
      </c>
      <c r="J74" s="43" t="n">
        <f aca="false">IFERROR(SUMPRODUCT(Normalizacao!$AL$5:$AL$17,Pesos_Indicadores!$I$5:$I$17,((Pesos_Indicadores!$B$5:$B$17=$A$11)*I74+(Pesos_Indicadores!$B$5:$B$17&lt;&gt;$A$11)*Pesos_Indicadores!$G$5:$G$17*(1-I74)/(1-$B$11))),0)</f>
        <v>0.934230769230769</v>
      </c>
      <c r="K74" s="60" t="n">
        <f aca="false">IF(J74=0,"",IFERROR(SUMPRODUCT(Normalizacao!$AL$5:$AL$17,Pesos_Indicadores!$I$5:$I$17,((Pesos_Indicadores!$B$5:$B$17=$A$11)*I74+(Pesos_Indicadores!$B$5:$B$17&lt;&gt;$A$11)*Pesos_Indicadores!$G$5:$G$17*(1-I74)/(1-$B$11)),Normalizacao!$AI$5:$AI$17)/J74,""))</f>
        <v>0.764414209075502</v>
      </c>
      <c r="L74" s="60" t="n">
        <f aca="false">IF(J74=0,"",IFERROR(SUMPRODUCT(Normalizacao!$AL$5:$AL$17,Pesos_Indicadores!$I$5:$I$17,((Pesos_Indicadores!$B$5:$B$17=$A$11)*I74+(Pesos_Indicadores!$B$5:$B$17&lt;&gt;$A$11)*Pesos_Indicadores!$G$5:$G$17*(1-I74)/(1-$B$11)),Normalizacao!$AJ$5:$AJ$17)/J74,""))</f>
        <v>0.784035564376108</v>
      </c>
      <c r="M74" s="60" t="n">
        <f aca="false">IF(J74=0,"",IFERROR(SUMPRODUCT(Normalizacao!$AL$5:$AL$17,Pesos_Indicadores!$I$5:$I$17,((Pesos_Indicadores!$B$5:$B$17=$A$11)*I74+(Pesos_Indicadores!$B$5:$B$17&lt;&gt;$A$11)*Pesos_Indicadores!$G$5:$G$17*(1-I74)/(1-$B$11)),Normalizacao!$AK$5:$AK$17)/J74,""))</f>
        <v>0.82740925119169</v>
      </c>
      <c r="N74" s="17" t="str">
        <f aca="false">IF(K74="","",IF(INDEX(K74:M74,$B$5)&gt;=MAX(K74:M74),$B$4,INDEX(Pontuacao!$A$29:$A$31,MATCH(MAX(K74:M74),K74:M74,0))))</f>
        <v>Microsoft Azure</v>
      </c>
      <c r="O74" s="43" t="str">
        <f aca="false">IF(OR(N74="",N74=$B$4,ABS(I74-$B$11)&lt;0.000000001),"",ABS(I74-$B$11))</f>
        <v/>
      </c>
      <c r="Q74" s="60" t="n">
        <f aca="false">(ROW()-17)*$B$6</f>
        <v>0.285</v>
      </c>
      <c r="R74" s="43" t="n">
        <f aca="false">IFERROR(SUMPRODUCT(Normalizacao!$AL$5:$AL$17,Pesos_Indicadores!$I$5:$I$17,((Pesos_Indicadores!$B$5:$B$17=$A$12)*Q74+(Pesos_Indicadores!$B$5:$B$17&lt;&gt;$A$12)*Pesos_Indicadores!$G$5:$G$17*(1-Q74)/(1-$B$12))),0)</f>
        <v>0.9175</v>
      </c>
      <c r="S74" s="60" t="n">
        <f aca="false">IF(R74=0,"",IFERROR(SUMPRODUCT(Normalizacao!$AL$5:$AL$17,Pesos_Indicadores!$I$5:$I$17,((Pesos_Indicadores!$B$5:$B$17=$A$12)*Q74+(Pesos_Indicadores!$B$5:$B$17&lt;&gt;$A$12)*Pesos_Indicadores!$G$5:$G$17*(1-Q74)/(1-$B$12)),Normalizacao!$AI$5:$AI$17)/R74,""))</f>
        <v>0.733886216399903</v>
      </c>
      <c r="T74" s="60" t="n">
        <f aca="false">IF(R74=0,"",IFERROR(SUMPRODUCT(Normalizacao!$AL$5:$AL$17,Pesos_Indicadores!$I$5:$I$17,((Pesos_Indicadores!$B$5:$B$17=$A$12)*Q74+(Pesos_Indicadores!$B$5:$B$17&lt;&gt;$A$12)*Pesos_Indicadores!$G$5:$G$17*(1-Q74)/(1-$B$12)),Normalizacao!$AJ$5:$AJ$17)/R74,""))</f>
        <v>0.83378198673143</v>
      </c>
      <c r="U74" s="60" t="n">
        <f aca="false">IF(R74=0,"",IFERROR(SUMPRODUCT(Normalizacao!$AL$5:$AL$17,Pesos_Indicadores!$I$5:$I$17,((Pesos_Indicadores!$B$5:$B$17=$A$12)*Q74+(Pesos_Indicadores!$B$5:$B$17&lt;&gt;$A$12)*Pesos_Indicadores!$G$5:$G$17*(1-Q74)/(1-$B$12)),Normalizacao!$AK$5:$AK$17)/R74,""))</f>
        <v>0.855165702196923</v>
      </c>
      <c r="V74" s="17" t="str">
        <f aca="false">IF(S74="","",IF(INDEX(S74:U74,$B$5)&gt;=MAX(S74:U74),$B$4,INDEX(Pontuacao!$A$29:$A$31,MATCH(MAX(S74:U74),S74:U74,0))))</f>
        <v>Microsoft Azure</v>
      </c>
      <c r="W74" s="43" t="str">
        <f aca="false">IF(OR(V74="",V74=$B$4,ABS(Q74-$B$12)&lt;0.000000001),"",ABS(Q74-$B$12))</f>
        <v/>
      </c>
    </row>
    <row r="75" customFormat="false" ht="15" hidden="false" customHeight="true" outlineLevel="0" collapsed="false">
      <c r="A75" s="60" t="n">
        <f aca="false">(ROW()-17)*$B$6</f>
        <v>0.29</v>
      </c>
      <c r="B75" s="43" t="n">
        <f aca="false">IFERROR(SUMPRODUCT(Normalizacao!$AL$5:$AL$17,Pesos_Indicadores!$I$5:$I$17,((Pesos_Indicadores!$B$5:$B$17=$A$10)*A75+(Pesos_Indicadores!$B$5:$B$17&lt;&gt;$A$10)*Pesos_Indicadores!$G$5:$G$17*(1-A75)/(1-$B$10))),0)</f>
        <v>0.983615384615385</v>
      </c>
      <c r="C75" s="60" t="n">
        <f aca="false">IF(B75=0,"",IFERROR(SUMPRODUCT(Normalizacao!$AL$5:$AL$17,Pesos_Indicadores!$I$5:$I$17,((Pesos_Indicadores!$B$5:$B$17=$A$10)*A75+(Pesos_Indicadores!$B$5:$B$17&lt;&gt;$A$10)*Pesos_Indicadores!$G$5:$G$17*(1-A75)/(1-$B$10)),Normalizacao!$AI$5:$AI$17)/B75,""))</f>
        <v>0.720680520780634</v>
      </c>
      <c r="D75" s="60" t="n">
        <f aca="false">IF(B75=0,"",IFERROR(SUMPRODUCT(Normalizacao!$AL$5:$AL$17,Pesos_Indicadores!$I$5:$I$17,((Pesos_Indicadores!$B$5:$B$17=$A$10)*A75+(Pesos_Indicadores!$B$5:$B$17&lt;&gt;$A$10)*Pesos_Indicadores!$G$5:$G$17*(1-A75)/(1-$B$10)),Normalizacao!$AJ$5:$AJ$17)/B75,""))</f>
        <v>0.796267991268306</v>
      </c>
      <c r="E75" s="60" t="n">
        <f aca="false">IF(B75=0,"",IFERROR(SUMPRODUCT(Normalizacao!$AL$5:$AL$17,Pesos_Indicadores!$I$5:$I$17,((Pesos_Indicadores!$B$5:$B$17=$A$10)*A75+(Pesos_Indicadores!$B$5:$B$17&lt;&gt;$A$10)*Pesos_Indicadores!$G$5:$G$17*(1-A75)/(1-$B$10)),Normalizacao!$AK$5:$AK$17)/B75,""))</f>
        <v>0.838422698139056</v>
      </c>
      <c r="F75" s="17" t="str">
        <f aca="false">IF(C75="","",IF(INDEX(C75:E75,$B$5)&gt;=MAX(C75:E75),$B$4,INDEX(Pontuacao!$A$29:$A$31,MATCH(MAX(C75:E75),C75:E75,0))))</f>
        <v>Microsoft Azure</v>
      </c>
      <c r="G75" s="43" t="str">
        <f aca="false">IF(OR(F75="",F75=$B$4,ABS(A75-$B$10)&lt;0.000000001),"",ABS(A75-$B$10))</f>
        <v/>
      </c>
      <c r="I75" s="60" t="n">
        <f aca="false">(ROW()-17)*$B$6</f>
        <v>0.29</v>
      </c>
      <c r="J75" s="43" t="n">
        <f aca="false">IFERROR(SUMPRODUCT(Normalizacao!$AL$5:$AL$17,Pesos_Indicadores!$I$5:$I$17,((Pesos_Indicadores!$B$5:$B$17=$A$11)*I75+(Pesos_Indicadores!$B$5:$B$17&lt;&gt;$A$11)*Pesos_Indicadores!$G$5:$G$17*(1-I75)/(1-$B$11))),0)</f>
        <v>0.933076923076923</v>
      </c>
      <c r="K75" s="60" t="n">
        <f aca="false">IF(J75=0,"",IFERROR(SUMPRODUCT(Normalizacao!$AL$5:$AL$17,Pesos_Indicadores!$I$5:$I$17,((Pesos_Indicadores!$B$5:$B$17=$A$11)*I75+(Pesos_Indicadores!$B$5:$B$17&lt;&gt;$A$11)*Pesos_Indicadores!$G$5:$G$17*(1-I75)/(1-$B$11)),Normalizacao!$AI$5:$AI$17)/J75,""))</f>
        <v>0.76490761553423</v>
      </c>
      <c r="L75" s="60" t="n">
        <f aca="false">IF(J75=0,"",IFERROR(SUMPRODUCT(Normalizacao!$AL$5:$AL$17,Pesos_Indicadores!$I$5:$I$17,((Pesos_Indicadores!$B$5:$B$17=$A$11)*I75+(Pesos_Indicadores!$B$5:$B$17&lt;&gt;$A$11)*Pesos_Indicadores!$G$5:$G$17*(1-I75)/(1-$B$11)),Normalizacao!$AJ$5:$AJ$17)/J75,""))</f>
        <v>0.784415852718736</v>
      </c>
      <c r="M75" s="60" t="n">
        <f aca="false">IF(J75=0,"",IFERROR(SUMPRODUCT(Normalizacao!$AL$5:$AL$17,Pesos_Indicadores!$I$5:$I$17,((Pesos_Indicadores!$B$5:$B$17=$A$11)*I75+(Pesos_Indicadores!$B$5:$B$17&lt;&gt;$A$11)*Pesos_Indicadores!$G$5:$G$17*(1-I75)/(1-$B$11)),Normalizacao!$AK$5:$AK$17)/J75,""))</f>
        <v>0.827537412387158</v>
      </c>
      <c r="N75" s="17" t="str">
        <f aca="false">IF(K75="","",IF(INDEX(K75:M75,$B$5)&gt;=MAX(K75:M75),$B$4,INDEX(Pontuacao!$A$29:$A$31,MATCH(MAX(K75:M75),K75:M75,0))))</f>
        <v>Microsoft Azure</v>
      </c>
      <c r="O75" s="43" t="str">
        <f aca="false">IF(OR(N75="",N75=$B$4,ABS(I75-$B$11)&lt;0.000000001),"",ABS(I75-$B$11))</f>
        <v/>
      </c>
      <c r="Q75" s="60" t="n">
        <f aca="false">(ROW()-17)*$B$6</f>
        <v>0.29</v>
      </c>
      <c r="R75" s="43" t="n">
        <f aca="false">IFERROR(SUMPRODUCT(Normalizacao!$AL$5:$AL$17,Pesos_Indicadores!$I$5:$I$17,((Pesos_Indicadores!$B$5:$B$17=$A$12)*Q75+(Pesos_Indicadores!$B$5:$B$17&lt;&gt;$A$12)*Pesos_Indicadores!$G$5:$G$17*(1-Q75)/(1-$B$12))),0)</f>
        <v>0.918076923076923</v>
      </c>
      <c r="S75" s="60" t="n">
        <f aca="false">IF(R75=0,"",IFERROR(SUMPRODUCT(Normalizacao!$AL$5:$AL$17,Pesos_Indicadores!$I$5:$I$17,((Pesos_Indicadores!$B$5:$B$17=$A$12)*Q75+(Pesos_Indicadores!$B$5:$B$17&lt;&gt;$A$12)*Pesos_Indicadores!$G$5:$G$17*(1-Q75)/(1-$B$12)),Normalizacao!$AI$5:$AI$17)/R75,""))</f>
        <v>0.734008955354087</v>
      </c>
      <c r="T75" s="60" t="n">
        <f aca="false">IF(R75=0,"",IFERROR(SUMPRODUCT(Normalizacao!$AL$5:$AL$17,Pesos_Indicadores!$I$5:$I$17,((Pesos_Indicadores!$B$5:$B$17=$A$12)*Q75+(Pesos_Indicadores!$B$5:$B$17&lt;&gt;$A$12)*Pesos_Indicadores!$G$5:$G$17*(1-Q75)/(1-$B$12)),Normalizacao!$AJ$5:$AJ$17)/R75,""))</f>
        <v>0.833143817963243</v>
      </c>
      <c r="U75" s="60" t="n">
        <f aca="false">IF(R75=0,"",IFERROR(SUMPRODUCT(Normalizacao!$AL$5:$AL$17,Pesos_Indicadores!$I$5:$I$17,((Pesos_Indicadores!$B$5:$B$17=$A$12)*Q75+(Pesos_Indicadores!$B$5:$B$17&lt;&gt;$A$12)*Pesos_Indicadores!$G$5:$G$17*(1-Q75)/(1-$B$12)),Normalizacao!$AK$5:$AK$17)/R75,""))</f>
        <v>0.854840716842945</v>
      </c>
      <c r="V75" s="17" t="str">
        <f aca="false">IF(S75="","",IF(INDEX(S75:U75,$B$5)&gt;=MAX(S75:U75),$B$4,INDEX(Pontuacao!$A$29:$A$31,MATCH(MAX(S75:U75),S75:U75,0))))</f>
        <v>Microsoft Azure</v>
      </c>
      <c r="W75" s="43" t="str">
        <f aca="false">IF(OR(V75="",V75=$B$4,ABS(Q75-$B$12)&lt;0.000000001),"",ABS(Q75-$B$12))</f>
        <v/>
      </c>
    </row>
    <row r="76" customFormat="false" ht="15" hidden="false" customHeight="true" outlineLevel="0" collapsed="false">
      <c r="A76" s="60" t="n">
        <f aca="false">(ROW()-17)*$B$6</f>
        <v>0.295</v>
      </c>
      <c r="B76" s="43" t="n">
        <f aca="false">IFERROR(SUMPRODUCT(Normalizacao!$AL$5:$AL$17,Pesos_Indicadores!$I$5:$I$17,((Pesos_Indicadores!$B$5:$B$17=$A$10)*A76+(Pesos_Indicadores!$B$5:$B$17&lt;&gt;$A$10)*Pesos_Indicadores!$G$5:$G$17*(1-A76)/(1-$B$10))),0)</f>
        <v>0.983730769230769</v>
      </c>
      <c r="C76" s="60" t="n">
        <f aca="false">IF(B76=0,"",IFERROR(SUMPRODUCT(Normalizacao!$AL$5:$AL$17,Pesos_Indicadores!$I$5:$I$17,((Pesos_Indicadores!$B$5:$B$17=$A$10)*A76+(Pesos_Indicadores!$B$5:$B$17&lt;&gt;$A$10)*Pesos_Indicadores!$G$5:$G$17*(1-A76)/(1-$B$10)),Normalizacao!$AI$5:$AI$17)/B76,""))</f>
        <v>0.720043691374249</v>
      </c>
      <c r="D76" s="60" t="n">
        <f aca="false">IF(B76=0,"",IFERROR(SUMPRODUCT(Normalizacao!$AL$5:$AL$17,Pesos_Indicadores!$I$5:$I$17,((Pesos_Indicadores!$B$5:$B$17=$A$10)*A76+(Pesos_Indicadores!$B$5:$B$17&lt;&gt;$A$10)*Pesos_Indicadores!$G$5:$G$17*(1-A76)/(1-$B$10)),Normalizacao!$AJ$5:$AJ$17)/B76,""))</f>
        <v>0.796925375379714</v>
      </c>
      <c r="E76" s="60" t="n">
        <f aca="false">IF(B76=0,"",IFERROR(SUMPRODUCT(Normalizacao!$AL$5:$AL$17,Pesos_Indicadores!$I$5:$I$17,((Pesos_Indicadores!$B$5:$B$17=$A$10)*A76+(Pesos_Indicadores!$B$5:$B$17&lt;&gt;$A$10)*Pesos_Indicadores!$G$5:$G$17*(1-A76)/(1-$B$10)),Normalizacao!$AK$5:$AK$17)/B76,""))</f>
        <v>0.838816476361637</v>
      </c>
      <c r="F76" s="17" t="str">
        <f aca="false">IF(C76="","",IF(INDEX(C76:E76,$B$5)&gt;=MAX(C76:E76),$B$4,INDEX(Pontuacao!$A$29:$A$31,MATCH(MAX(C76:E76),C76:E76,0))))</f>
        <v>Microsoft Azure</v>
      </c>
      <c r="G76" s="43" t="str">
        <f aca="false">IF(OR(F76="",F76=$B$4,ABS(A76-$B$10)&lt;0.000000001),"",ABS(A76-$B$10))</f>
        <v/>
      </c>
      <c r="I76" s="60" t="n">
        <f aca="false">(ROW()-17)*$B$6</f>
        <v>0.295</v>
      </c>
      <c r="J76" s="43" t="n">
        <f aca="false">IFERROR(SUMPRODUCT(Normalizacao!$AL$5:$AL$17,Pesos_Indicadores!$I$5:$I$17,((Pesos_Indicadores!$B$5:$B$17=$A$11)*I76+(Pesos_Indicadores!$B$5:$B$17&lt;&gt;$A$11)*Pesos_Indicadores!$G$5:$G$17*(1-I76)/(1-$B$11))),0)</f>
        <v>0.931923076923077</v>
      </c>
      <c r="K76" s="60" t="n">
        <f aca="false">IF(J76=0,"",IFERROR(SUMPRODUCT(Normalizacao!$AL$5:$AL$17,Pesos_Indicadores!$I$5:$I$17,((Pesos_Indicadores!$B$5:$B$17=$A$11)*I76+(Pesos_Indicadores!$B$5:$B$17&lt;&gt;$A$11)*Pesos_Indicadores!$G$5:$G$17*(1-I76)/(1-$B$11)),Normalizacao!$AI$5:$AI$17)/J76,""))</f>
        <v>0.765402243800119</v>
      </c>
      <c r="L76" s="60" t="n">
        <f aca="false">IF(J76=0,"",IFERROR(SUMPRODUCT(Normalizacao!$AL$5:$AL$17,Pesos_Indicadores!$I$5:$I$17,((Pesos_Indicadores!$B$5:$B$17=$A$11)*I76+(Pesos_Indicadores!$B$5:$B$17&lt;&gt;$A$11)*Pesos_Indicadores!$G$5:$G$17*(1-I76)/(1-$B$11)),Normalizacao!$AJ$5:$AJ$17)/J76,""))</f>
        <v>0.784797082757631</v>
      </c>
      <c r="M76" s="60" t="n">
        <f aca="false">IF(J76=0,"",IFERROR(SUMPRODUCT(Normalizacao!$AL$5:$AL$17,Pesos_Indicadores!$I$5:$I$17,((Pesos_Indicadores!$B$5:$B$17=$A$11)*I76+(Pesos_Indicadores!$B$5:$B$17&lt;&gt;$A$11)*Pesos_Indicadores!$G$5:$G$17*(1-I76)/(1-$B$11)),Normalizacao!$AK$5:$AK$17)/J76,""))</f>
        <v>0.827665890944233</v>
      </c>
      <c r="N76" s="17" t="str">
        <f aca="false">IF(K76="","",IF(INDEX(K76:M76,$B$5)&gt;=MAX(K76:M76),$B$4,INDEX(Pontuacao!$A$29:$A$31,MATCH(MAX(K76:M76),K76:M76,0))))</f>
        <v>Microsoft Azure</v>
      </c>
      <c r="O76" s="43" t="str">
        <f aca="false">IF(OR(N76="",N76=$B$4,ABS(I76-$B$11)&lt;0.000000001),"",ABS(I76-$B$11))</f>
        <v/>
      </c>
      <c r="Q76" s="60" t="n">
        <f aca="false">(ROW()-17)*$B$6</f>
        <v>0.295</v>
      </c>
      <c r="R76" s="43" t="n">
        <f aca="false">IFERROR(SUMPRODUCT(Normalizacao!$AL$5:$AL$17,Pesos_Indicadores!$I$5:$I$17,((Pesos_Indicadores!$B$5:$B$17=$A$12)*Q76+(Pesos_Indicadores!$B$5:$B$17&lt;&gt;$A$12)*Pesos_Indicadores!$G$5:$G$17*(1-Q76)/(1-$B$12))),0)</f>
        <v>0.918653846153846</v>
      </c>
      <c r="S76" s="60" t="n">
        <f aca="false">IF(R76=0,"",IFERROR(SUMPRODUCT(Normalizacao!$AL$5:$AL$17,Pesos_Indicadores!$I$5:$I$17,((Pesos_Indicadores!$B$5:$B$17=$A$12)*Q76+(Pesos_Indicadores!$B$5:$B$17&lt;&gt;$A$12)*Pesos_Indicadores!$G$5:$G$17*(1-Q76)/(1-$B$12)),Normalizacao!$AI$5:$AI$17)/R76,""))</f>
        <v>0.734131540145884</v>
      </c>
      <c r="T76" s="60" t="n">
        <f aca="false">IF(R76=0,"",IFERROR(SUMPRODUCT(Normalizacao!$AL$5:$AL$17,Pesos_Indicadores!$I$5:$I$17,((Pesos_Indicadores!$B$5:$B$17=$A$12)*Q76+(Pesos_Indicadores!$B$5:$B$17&lt;&gt;$A$12)*Pesos_Indicadores!$G$5:$G$17*(1-Q76)/(1-$B$12)),Normalizacao!$AJ$5:$AJ$17)/R76,""))</f>
        <v>0.832506450746785</v>
      </c>
      <c r="U76" s="60" t="n">
        <f aca="false">IF(R76=0,"",IFERROR(SUMPRODUCT(Normalizacao!$AL$5:$AL$17,Pesos_Indicadores!$I$5:$I$17,((Pesos_Indicadores!$B$5:$B$17=$A$12)*Q76+(Pesos_Indicadores!$B$5:$B$17&lt;&gt;$A$12)*Pesos_Indicadores!$G$5:$G$17*(1-Q76)/(1-$B$12)),Normalizacao!$AK$5:$AK$17)/R76,""))</f>
        <v>0.854516139676559</v>
      </c>
      <c r="V76" s="17" t="str">
        <f aca="false">IF(S76="","",IF(INDEX(S76:U76,$B$5)&gt;=MAX(S76:U76),$B$4,INDEX(Pontuacao!$A$29:$A$31,MATCH(MAX(S76:U76),S76:U76,0))))</f>
        <v>Microsoft Azure</v>
      </c>
      <c r="W76" s="43" t="str">
        <f aca="false">IF(OR(V76="",V76=$B$4,ABS(Q76-$B$12)&lt;0.000000001),"",ABS(Q76-$B$12))</f>
        <v/>
      </c>
    </row>
    <row r="77" customFormat="false" ht="15" hidden="false" customHeight="true" outlineLevel="0" collapsed="false">
      <c r="A77" s="60" t="n">
        <f aca="false">(ROW()-17)*$B$6</f>
        <v>0.3</v>
      </c>
      <c r="B77" s="43" t="n">
        <f aca="false">IFERROR(SUMPRODUCT(Normalizacao!$AL$5:$AL$17,Pesos_Indicadores!$I$5:$I$17,((Pesos_Indicadores!$B$5:$B$17=$A$10)*A77+(Pesos_Indicadores!$B$5:$B$17&lt;&gt;$A$10)*Pesos_Indicadores!$G$5:$G$17*(1-A77)/(1-$B$10))),0)</f>
        <v>0.983846153846154</v>
      </c>
      <c r="C77" s="60" t="n">
        <f aca="false">IF(B77=0,"",IFERROR(SUMPRODUCT(Normalizacao!$AL$5:$AL$17,Pesos_Indicadores!$I$5:$I$17,((Pesos_Indicadores!$B$5:$B$17=$A$10)*A77+(Pesos_Indicadores!$B$5:$B$17&lt;&gt;$A$10)*Pesos_Indicadores!$G$5:$G$17*(1-A77)/(1-$B$10)),Normalizacao!$AI$5:$AI$17)/B77,""))</f>
        <v>0.719407011341455</v>
      </c>
      <c r="D77" s="60" t="n">
        <f aca="false">IF(B77=0,"",IFERROR(SUMPRODUCT(Normalizacao!$AL$5:$AL$17,Pesos_Indicadores!$I$5:$I$17,((Pesos_Indicadores!$B$5:$B$17=$A$10)*A77+(Pesos_Indicadores!$B$5:$B$17&lt;&gt;$A$10)*Pesos_Indicadores!$G$5:$G$17*(1-A77)/(1-$B$10)),Normalizacao!$AJ$5:$AJ$17)/B77,""))</f>
        <v>0.797582605296257</v>
      </c>
      <c r="E77" s="60" t="n">
        <f aca="false">IF(B77=0,"",IFERROR(SUMPRODUCT(Normalizacao!$AL$5:$AL$17,Pesos_Indicadores!$I$5:$I$17,((Pesos_Indicadores!$B$5:$B$17=$A$10)*A77+(Pesos_Indicadores!$B$5:$B$17&lt;&gt;$A$10)*Pesos_Indicadores!$G$5:$G$17*(1-A77)/(1-$B$10)),Normalizacao!$AK$5:$AK$17)/B77,""))</f>
        <v>0.839210162220288</v>
      </c>
      <c r="F77" s="17" t="str">
        <f aca="false">IF(C77="","",IF(INDEX(C77:E77,$B$5)&gt;=MAX(C77:E77),$B$4,INDEX(Pontuacao!$A$29:$A$31,MATCH(MAX(C77:E77),C77:E77,0))))</f>
        <v>Microsoft Azure</v>
      </c>
      <c r="G77" s="43" t="str">
        <f aca="false">IF(OR(F77="",F77=$B$4,ABS(A77-$B$10)&lt;0.000000001),"",ABS(A77-$B$10))</f>
        <v/>
      </c>
      <c r="I77" s="60" t="n">
        <f aca="false">(ROW()-17)*$B$6</f>
        <v>0.3</v>
      </c>
      <c r="J77" s="43" t="n">
        <f aca="false">IFERROR(SUMPRODUCT(Normalizacao!$AL$5:$AL$17,Pesos_Indicadores!$I$5:$I$17,((Pesos_Indicadores!$B$5:$B$17=$A$11)*I77+(Pesos_Indicadores!$B$5:$B$17&lt;&gt;$A$11)*Pesos_Indicadores!$G$5:$G$17*(1-I77)/(1-$B$11))),0)</f>
        <v>0.930769230769231</v>
      </c>
      <c r="K77" s="60" t="n">
        <f aca="false">IF(J77=0,"",IFERROR(SUMPRODUCT(Normalizacao!$AL$5:$AL$17,Pesos_Indicadores!$I$5:$I$17,((Pesos_Indicadores!$B$5:$B$17=$A$11)*I77+(Pesos_Indicadores!$B$5:$B$17&lt;&gt;$A$11)*Pesos_Indicadores!$G$5:$G$17*(1-I77)/(1-$B$11)),Normalizacao!$AI$5:$AI$17)/J77,""))</f>
        <v>0.765898098417081</v>
      </c>
      <c r="L77" s="60" t="n">
        <f aca="false">IF(J77=0,"",IFERROR(SUMPRODUCT(Normalizacao!$AL$5:$AL$17,Pesos_Indicadores!$I$5:$I$17,((Pesos_Indicadores!$B$5:$B$17=$A$11)*I77+(Pesos_Indicadores!$B$5:$B$17&lt;&gt;$A$11)*Pesos_Indicadores!$G$5:$G$17*(1-I77)/(1-$B$11)),Normalizacao!$AJ$5:$AJ$17)/J77,""))</f>
        <v>0.78517925799497</v>
      </c>
      <c r="M77" s="60" t="n">
        <f aca="false">IF(J77=0,"",IFERROR(SUMPRODUCT(Normalizacao!$AL$5:$AL$17,Pesos_Indicadores!$I$5:$I$17,((Pesos_Indicadores!$B$5:$B$17=$A$11)*I77+(Pesos_Indicadores!$B$5:$B$17&lt;&gt;$A$11)*Pesos_Indicadores!$G$5:$G$17*(1-I77)/(1-$B$11)),Normalizacao!$AK$5:$AK$17)/J77,""))</f>
        <v>0.827794688043185</v>
      </c>
      <c r="N77" s="17" t="str">
        <f aca="false">IF(K77="","",IF(INDEX(K77:M77,$B$5)&gt;=MAX(K77:M77),$B$4,INDEX(Pontuacao!$A$29:$A$31,MATCH(MAX(K77:M77),K77:M77,0))))</f>
        <v>Microsoft Azure</v>
      </c>
      <c r="O77" s="43" t="str">
        <f aca="false">IF(OR(N77="",N77=$B$4,ABS(I77-$B$11)&lt;0.000000001),"",ABS(I77-$B$11))</f>
        <v/>
      </c>
      <c r="Q77" s="60" t="n">
        <f aca="false">(ROW()-17)*$B$6</f>
        <v>0.3</v>
      </c>
      <c r="R77" s="43" t="n">
        <f aca="false">IFERROR(SUMPRODUCT(Normalizacao!$AL$5:$AL$17,Pesos_Indicadores!$I$5:$I$17,((Pesos_Indicadores!$B$5:$B$17=$A$12)*Q77+(Pesos_Indicadores!$B$5:$B$17&lt;&gt;$A$12)*Pesos_Indicadores!$G$5:$G$17*(1-Q77)/(1-$B$12))),0)</f>
        <v>0.919230769230769</v>
      </c>
      <c r="S77" s="60" t="n">
        <f aca="false">IF(R77=0,"",IFERROR(SUMPRODUCT(Normalizacao!$AL$5:$AL$17,Pesos_Indicadores!$I$5:$I$17,((Pesos_Indicadores!$B$5:$B$17=$A$12)*Q77+(Pesos_Indicadores!$B$5:$B$17&lt;&gt;$A$12)*Pesos_Indicadores!$G$5:$G$17*(1-Q77)/(1-$B$12)),Normalizacao!$AI$5:$AI$17)/R77,""))</f>
        <v>0.734253971065557</v>
      </c>
      <c r="T77" s="60" t="n">
        <f aca="false">IF(R77=0,"",IFERROR(SUMPRODUCT(Normalizacao!$AL$5:$AL$17,Pesos_Indicadores!$I$5:$I$17,((Pesos_Indicadores!$B$5:$B$17=$A$12)*Q77+(Pesos_Indicadores!$B$5:$B$17&lt;&gt;$A$12)*Pesos_Indicadores!$G$5:$G$17*(1-Q77)/(1-$B$12)),Normalizacao!$AJ$5:$AJ$17)/R77,""))</f>
        <v>0.831869883572858</v>
      </c>
      <c r="U77" s="60" t="n">
        <f aca="false">IF(R77=0,"",IFERROR(SUMPRODUCT(Normalizacao!$AL$5:$AL$17,Pesos_Indicadores!$I$5:$I$17,((Pesos_Indicadores!$B$5:$B$17=$A$12)*Q77+(Pesos_Indicadores!$B$5:$B$17&lt;&gt;$A$12)*Pesos_Indicadores!$G$5:$G$17*(1-Q77)/(1-$B$12)),Normalizacao!$AK$5:$AK$17)/R77,""))</f>
        <v>0.854191969929211</v>
      </c>
      <c r="V77" s="17" t="str">
        <f aca="false">IF(S77="","",IF(INDEX(S77:U77,$B$5)&gt;=MAX(S77:U77),$B$4,INDEX(Pontuacao!$A$29:$A$31,MATCH(MAX(S77:U77),S77:U77,0))))</f>
        <v>Microsoft Azure</v>
      </c>
      <c r="W77" s="43" t="str">
        <f aca="false">IF(OR(V77="",V77=$B$4,ABS(Q77-$B$12)&lt;0.000000001),"",ABS(Q77-$B$12))</f>
        <v/>
      </c>
    </row>
    <row r="78" customFormat="false" ht="15" hidden="false" customHeight="true" outlineLevel="0" collapsed="false">
      <c r="A78" s="60" t="n">
        <f aca="false">(ROW()-17)*$B$6</f>
        <v>0.305</v>
      </c>
      <c r="B78" s="43" t="n">
        <f aca="false">IFERROR(SUMPRODUCT(Normalizacao!$AL$5:$AL$17,Pesos_Indicadores!$I$5:$I$17,((Pesos_Indicadores!$B$5:$B$17=$A$10)*A78+(Pesos_Indicadores!$B$5:$B$17&lt;&gt;$A$10)*Pesos_Indicadores!$G$5:$G$17*(1-A78)/(1-$B$10))),0)</f>
        <v>0.983961538461539</v>
      </c>
      <c r="C78" s="60" t="n">
        <f aca="false">IF(B78=0,"",IFERROR(SUMPRODUCT(Normalizacao!$AL$5:$AL$17,Pesos_Indicadores!$I$5:$I$17,((Pesos_Indicadores!$B$5:$B$17=$A$10)*A78+(Pesos_Indicadores!$B$5:$B$17&lt;&gt;$A$10)*Pesos_Indicadores!$G$5:$G$17*(1-A78)/(1-$B$10)),Normalizacao!$AI$5:$AI$17)/B78,""))</f>
        <v>0.718770480629702</v>
      </c>
      <c r="D78" s="60" t="n">
        <f aca="false">IF(B78=0,"",IFERROR(SUMPRODUCT(Normalizacao!$AL$5:$AL$17,Pesos_Indicadores!$I$5:$I$17,((Pesos_Indicadores!$B$5:$B$17=$A$10)*A78+(Pesos_Indicadores!$B$5:$B$17&lt;&gt;$A$10)*Pesos_Indicadores!$G$5:$G$17*(1-A78)/(1-$B$10)),Normalizacao!$AJ$5:$AJ$17)/B78,""))</f>
        <v>0.798239681072179</v>
      </c>
      <c r="E78" s="60" t="n">
        <f aca="false">IF(B78=0,"",IFERROR(SUMPRODUCT(Normalizacao!$AL$5:$AL$17,Pesos_Indicadores!$I$5:$I$17,((Pesos_Indicadores!$B$5:$B$17=$A$10)*A78+(Pesos_Indicadores!$B$5:$B$17&lt;&gt;$A$10)*Pesos_Indicadores!$G$5:$G$17*(1-A78)/(1-$B$10)),Normalizacao!$AK$5:$AK$17)/B78,""))</f>
        <v>0.839603755747502</v>
      </c>
      <c r="F78" s="17" t="str">
        <f aca="false">IF(C78="","",IF(INDEX(C78:E78,$B$5)&gt;=MAX(C78:E78),$B$4,INDEX(Pontuacao!$A$29:$A$31,MATCH(MAX(C78:E78),C78:E78,0))))</f>
        <v>Microsoft Azure</v>
      </c>
      <c r="G78" s="43" t="str">
        <f aca="false">IF(OR(F78="",F78=$B$4,ABS(A78-$B$10)&lt;0.000000001),"",ABS(A78-$B$10))</f>
        <v/>
      </c>
      <c r="I78" s="60" t="n">
        <f aca="false">(ROW()-17)*$B$6</f>
        <v>0.305</v>
      </c>
      <c r="J78" s="43" t="n">
        <f aca="false">IFERROR(SUMPRODUCT(Normalizacao!$AL$5:$AL$17,Pesos_Indicadores!$I$5:$I$17,((Pesos_Indicadores!$B$5:$B$17=$A$11)*I78+(Pesos_Indicadores!$B$5:$B$17&lt;&gt;$A$11)*Pesos_Indicadores!$G$5:$G$17*(1-I78)/(1-$B$11))),0)</f>
        <v>0.929615384615385</v>
      </c>
      <c r="K78" s="60" t="n">
        <f aca="false">IF(J78=0,"",IFERROR(SUMPRODUCT(Normalizacao!$AL$5:$AL$17,Pesos_Indicadores!$I$5:$I$17,((Pesos_Indicadores!$B$5:$B$17=$A$11)*I78+(Pesos_Indicadores!$B$5:$B$17&lt;&gt;$A$11)*Pesos_Indicadores!$G$5:$G$17*(1-I78)/(1-$B$11)),Normalizacao!$AI$5:$AI$17)/J78,""))</f>
        <v>0.766395183951586</v>
      </c>
      <c r="L78" s="60" t="n">
        <f aca="false">IF(J78=0,"",IFERROR(SUMPRODUCT(Normalizacao!$AL$5:$AL$17,Pesos_Indicadores!$I$5:$I$17,((Pesos_Indicadores!$B$5:$B$17=$A$11)*I78+(Pesos_Indicadores!$B$5:$B$17&lt;&gt;$A$11)*Pesos_Indicadores!$G$5:$G$17*(1-I78)/(1-$B$11)),Normalizacao!$AJ$5:$AJ$17)/J78,""))</f>
        <v>0.785562381950316</v>
      </c>
      <c r="M78" s="60" t="n">
        <f aca="false">IF(J78=0,"",IFERROR(SUMPRODUCT(Normalizacao!$AL$5:$AL$17,Pesos_Indicadores!$I$5:$I$17,((Pesos_Indicadores!$B$5:$B$17=$A$11)*I78+(Pesos_Indicadores!$B$5:$B$17&lt;&gt;$A$11)*Pesos_Indicadores!$G$5:$G$17*(1-I78)/(1-$B$11)),Normalizacao!$AK$5:$AK$17)/J78,""))</f>
        <v>0.827923804870144</v>
      </c>
      <c r="N78" s="17" t="str">
        <f aca="false">IF(K78="","",IF(INDEX(K78:M78,$B$5)&gt;=MAX(K78:M78),$B$4,INDEX(Pontuacao!$A$29:$A$31,MATCH(MAX(K78:M78),K78:M78,0))))</f>
        <v>Microsoft Azure</v>
      </c>
      <c r="O78" s="43" t="str">
        <f aca="false">IF(OR(N78="",N78=$B$4,ABS(I78-$B$11)&lt;0.000000001),"",ABS(I78-$B$11))</f>
        <v/>
      </c>
      <c r="Q78" s="60" t="n">
        <f aca="false">(ROW()-17)*$B$6</f>
        <v>0.305</v>
      </c>
      <c r="R78" s="43" t="n">
        <f aca="false">IFERROR(SUMPRODUCT(Normalizacao!$AL$5:$AL$17,Pesos_Indicadores!$I$5:$I$17,((Pesos_Indicadores!$B$5:$B$17=$A$12)*Q78+(Pesos_Indicadores!$B$5:$B$17&lt;&gt;$A$12)*Pesos_Indicadores!$G$5:$G$17*(1-Q78)/(1-$B$12))),0)</f>
        <v>0.919807692307693</v>
      </c>
      <c r="S78" s="60" t="n">
        <f aca="false">IF(R78=0,"",IFERROR(SUMPRODUCT(Normalizacao!$AL$5:$AL$17,Pesos_Indicadores!$I$5:$I$17,((Pesos_Indicadores!$B$5:$B$17=$A$12)*Q78+(Pesos_Indicadores!$B$5:$B$17&lt;&gt;$A$12)*Pesos_Indicadores!$G$5:$G$17*(1-Q78)/(1-$B$12)),Normalizacao!$AI$5:$AI$17)/R78,""))</f>
        <v>0.734376248402643</v>
      </c>
      <c r="T78" s="60" t="n">
        <f aca="false">IF(R78=0,"",IFERROR(SUMPRODUCT(Normalizacao!$AL$5:$AL$17,Pesos_Indicadores!$I$5:$I$17,((Pesos_Indicadores!$B$5:$B$17=$A$12)*Q78+(Pesos_Indicadores!$B$5:$B$17&lt;&gt;$A$12)*Pesos_Indicadores!$G$5:$G$17*(1-Q78)/(1-$B$12)),Normalizacao!$AJ$5:$AJ$17)/R78,""))</f>
        <v>0.831234114936051</v>
      </c>
      <c r="U78" s="60" t="n">
        <f aca="false">IF(R78=0,"",IFERROR(SUMPRODUCT(Normalizacao!$AL$5:$AL$17,Pesos_Indicadores!$I$5:$I$17,((Pesos_Indicadores!$B$5:$B$17=$A$12)*Q78+(Pesos_Indicadores!$B$5:$B$17&lt;&gt;$A$12)*Pesos_Indicadores!$G$5:$G$17*(1-Q78)/(1-$B$12)),Normalizacao!$AK$5:$AK$17)/R78,""))</f>
        <v>0.853868206834273</v>
      </c>
      <c r="V78" s="17" t="str">
        <f aca="false">IF(S78="","",IF(INDEX(S78:U78,$B$5)&gt;=MAX(S78:U78),$B$4,INDEX(Pontuacao!$A$29:$A$31,MATCH(MAX(S78:U78),S78:U78,0))))</f>
        <v>Microsoft Azure</v>
      </c>
      <c r="W78" s="43" t="str">
        <f aca="false">IF(OR(V78="",V78=$B$4,ABS(Q78-$B$12)&lt;0.000000001),"",ABS(Q78-$B$12))</f>
        <v/>
      </c>
    </row>
    <row r="79" customFormat="false" ht="15" hidden="false" customHeight="true" outlineLevel="0" collapsed="false">
      <c r="A79" s="60" t="n">
        <f aca="false">(ROW()-17)*$B$6</f>
        <v>0.31</v>
      </c>
      <c r="B79" s="43" t="n">
        <f aca="false">IFERROR(SUMPRODUCT(Normalizacao!$AL$5:$AL$17,Pesos_Indicadores!$I$5:$I$17,((Pesos_Indicadores!$B$5:$B$17=$A$10)*A79+(Pesos_Indicadores!$B$5:$B$17&lt;&gt;$A$10)*Pesos_Indicadores!$G$5:$G$17*(1-A79)/(1-$B$10))),0)</f>
        <v>0.984076923076923</v>
      </c>
      <c r="C79" s="60" t="n">
        <f aca="false">IF(B79=0,"",IFERROR(SUMPRODUCT(Normalizacao!$AL$5:$AL$17,Pesos_Indicadores!$I$5:$I$17,((Pesos_Indicadores!$B$5:$B$17=$A$10)*A79+(Pesos_Indicadores!$B$5:$B$17&lt;&gt;$A$10)*Pesos_Indicadores!$G$5:$G$17*(1-A79)/(1-$B$10)),Normalizacao!$AI$5:$AI$17)/B79,""))</f>
        <v>0.718134099186465</v>
      </c>
      <c r="D79" s="60" t="n">
        <f aca="false">IF(B79=0,"",IFERROR(SUMPRODUCT(Normalizacao!$AL$5:$AL$17,Pesos_Indicadores!$I$5:$I$17,((Pesos_Indicadores!$B$5:$B$17=$A$10)*A79+(Pesos_Indicadores!$B$5:$B$17&lt;&gt;$A$10)*Pesos_Indicadores!$G$5:$G$17*(1-A79)/(1-$B$10)),Normalizacao!$AJ$5:$AJ$17)/B79,""))</f>
        <v>0.798896602761701</v>
      </c>
      <c r="E79" s="60" t="n">
        <f aca="false">IF(B79=0,"",IFERROR(SUMPRODUCT(Normalizacao!$AL$5:$AL$17,Pesos_Indicadores!$I$5:$I$17,((Pesos_Indicadores!$B$5:$B$17=$A$10)*A79+(Pesos_Indicadores!$B$5:$B$17&lt;&gt;$A$10)*Pesos_Indicadores!$G$5:$G$17*(1-A79)/(1-$B$10)),Normalizacao!$AK$5:$AK$17)/B79,""))</f>
        <v>0.839997256975756</v>
      </c>
      <c r="F79" s="17" t="str">
        <f aca="false">IF(C79="","",IF(INDEX(C79:E79,$B$5)&gt;=MAX(C79:E79),$B$4,INDEX(Pontuacao!$A$29:$A$31,MATCH(MAX(C79:E79),C79:E79,0))))</f>
        <v>Microsoft Azure</v>
      </c>
      <c r="G79" s="43" t="str">
        <f aca="false">IF(OR(F79="",F79=$B$4,ABS(A79-$B$10)&lt;0.000000001),"",ABS(A79-$B$10))</f>
        <v/>
      </c>
      <c r="I79" s="60" t="n">
        <f aca="false">(ROW()-17)*$B$6</f>
        <v>0.31</v>
      </c>
      <c r="J79" s="43" t="n">
        <f aca="false">IFERROR(SUMPRODUCT(Normalizacao!$AL$5:$AL$17,Pesos_Indicadores!$I$5:$I$17,((Pesos_Indicadores!$B$5:$B$17=$A$11)*I79+(Pesos_Indicadores!$B$5:$B$17&lt;&gt;$A$11)*Pesos_Indicadores!$G$5:$G$17*(1-I79)/(1-$B$11))),0)</f>
        <v>0.928461538461538</v>
      </c>
      <c r="K79" s="60" t="n">
        <f aca="false">IF(J79=0,"",IFERROR(SUMPRODUCT(Normalizacao!$AL$5:$AL$17,Pesos_Indicadores!$I$5:$I$17,((Pesos_Indicadores!$B$5:$B$17=$A$11)*I79+(Pesos_Indicadores!$B$5:$B$17&lt;&gt;$A$11)*Pesos_Indicadores!$G$5:$G$17*(1-I79)/(1-$B$11)),Normalizacao!$AI$5:$AI$17)/J79,""))</f>
        <v>0.766893504992805</v>
      </c>
      <c r="L79" s="60" t="n">
        <f aca="false">IF(J79=0,"",IFERROR(SUMPRODUCT(Normalizacao!$AL$5:$AL$17,Pesos_Indicadores!$I$5:$I$17,((Pesos_Indicadores!$B$5:$B$17=$A$11)*I79+(Pesos_Indicadores!$B$5:$B$17&lt;&gt;$A$11)*Pesos_Indicadores!$G$5:$G$17*(1-I79)/(1-$B$11)),Normalizacao!$AJ$5:$AJ$17)/J79,""))</f>
        <v>0.785946458160729</v>
      </c>
      <c r="M79" s="60" t="n">
        <f aca="false">IF(J79=0,"",IFERROR(SUMPRODUCT(Normalizacao!$AL$5:$AL$17,Pesos_Indicadores!$I$5:$I$17,((Pesos_Indicadores!$B$5:$B$17=$A$11)*I79+(Pesos_Indicadores!$B$5:$B$17&lt;&gt;$A$11)*Pesos_Indicadores!$G$5:$G$17*(1-I79)/(1-$B$11)),Normalizacao!$AK$5:$AK$17)/J79,""))</f>
        <v>0.828053242617137</v>
      </c>
      <c r="N79" s="17" t="str">
        <f aca="false">IF(K79="","",IF(INDEX(K79:M79,$B$5)&gt;=MAX(K79:M79),$B$4,INDEX(Pontuacao!$A$29:$A$31,MATCH(MAX(K79:M79),K79:M79,0))))</f>
        <v>Microsoft Azure</v>
      </c>
      <c r="O79" s="43" t="str">
        <f aca="false">IF(OR(N79="",N79=$B$4,ABS(I79-$B$11)&lt;0.000000001),"",ABS(I79-$B$11))</f>
        <v/>
      </c>
      <c r="Q79" s="60" t="n">
        <f aca="false">(ROW()-17)*$B$6</f>
        <v>0.31</v>
      </c>
      <c r="R79" s="43" t="n">
        <f aca="false">IFERROR(SUMPRODUCT(Normalizacao!$AL$5:$AL$17,Pesos_Indicadores!$I$5:$I$17,((Pesos_Indicadores!$B$5:$B$17=$A$12)*Q79+(Pesos_Indicadores!$B$5:$B$17&lt;&gt;$A$12)*Pesos_Indicadores!$G$5:$G$17*(1-Q79)/(1-$B$12))),0)</f>
        <v>0.920384615384616</v>
      </c>
      <c r="S79" s="60" t="n">
        <f aca="false">IF(R79=0,"",IFERROR(SUMPRODUCT(Normalizacao!$AL$5:$AL$17,Pesos_Indicadores!$I$5:$I$17,((Pesos_Indicadores!$B$5:$B$17=$A$12)*Q79+(Pesos_Indicadores!$B$5:$B$17&lt;&gt;$A$12)*Pesos_Indicadores!$G$5:$G$17*(1-Q79)/(1-$B$12)),Normalizacao!$AI$5:$AI$17)/R79,""))</f>
        <v>0.73449837244595</v>
      </c>
      <c r="T79" s="60" t="n">
        <f aca="false">IF(R79=0,"",IFERROR(SUMPRODUCT(Normalizacao!$AL$5:$AL$17,Pesos_Indicadores!$I$5:$I$17,((Pesos_Indicadores!$B$5:$B$17=$A$12)*Q79+(Pesos_Indicadores!$B$5:$B$17&lt;&gt;$A$12)*Pesos_Indicadores!$G$5:$G$17*(1-Q79)/(1-$B$12)),Normalizacao!$AJ$5:$AJ$17)/R79,""))</f>
        <v>0.830599143334726</v>
      </c>
      <c r="U79" s="60" t="n">
        <f aca="false">IF(R79=0,"",IFERROR(SUMPRODUCT(Normalizacao!$AL$5:$AL$17,Pesos_Indicadores!$I$5:$I$17,((Pesos_Indicadores!$B$5:$B$17=$A$12)*Q79+(Pesos_Indicadores!$B$5:$B$17&lt;&gt;$A$12)*Pesos_Indicadores!$G$5:$G$17*(1-Q79)/(1-$B$12)),Normalizacao!$AK$5:$AK$17)/R79,""))</f>
        <v>0.853544849627044</v>
      </c>
      <c r="V79" s="17" t="str">
        <f aca="false">IF(S79="","",IF(INDEX(S79:U79,$B$5)&gt;=MAX(S79:U79),$B$4,INDEX(Pontuacao!$A$29:$A$31,MATCH(MAX(S79:U79),S79:U79,0))))</f>
        <v>Microsoft Azure</v>
      </c>
      <c r="W79" s="43" t="str">
        <f aca="false">IF(OR(V79="",V79=$B$4,ABS(Q79-$B$12)&lt;0.000000001),"",ABS(Q79-$B$12))</f>
        <v/>
      </c>
    </row>
    <row r="80" customFormat="false" ht="15" hidden="false" customHeight="true" outlineLevel="0" collapsed="false">
      <c r="A80" s="60" t="n">
        <f aca="false">(ROW()-17)*$B$6</f>
        <v>0.315</v>
      </c>
      <c r="B80" s="43" t="n">
        <f aca="false">IFERROR(SUMPRODUCT(Normalizacao!$AL$5:$AL$17,Pesos_Indicadores!$I$5:$I$17,((Pesos_Indicadores!$B$5:$B$17=$A$10)*A80+(Pesos_Indicadores!$B$5:$B$17&lt;&gt;$A$10)*Pesos_Indicadores!$G$5:$G$17*(1-A80)/(1-$B$10))),0)</f>
        <v>0.984192307692308</v>
      </c>
      <c r="C80" s="60" t="n">
        <f aca="false">IF(B80=0,"",IFERROR(SUMPRODUCT(Normalizacao!$AL$5:$AL$17,Pesos_Indicadores!$I$5:$I$17,((Pesos_Indicadores!$B$5:$B$17=$A$10)*A80+(Pesos_Indicadores!$B$5:$B$17&lt;&gt;$A$10)*Pesos_Indicadores!$G$5:$G$17*(1-A80)/(1-$B$10)),Normalizacao!$AI$5:$AI$17)/B80,""))</f>
        <v>0.717497866959246</v>
      </c>
      <c r="D80" s="60" t="n">
        <f aca="false">IF(B80=0,"",IFERROR(SUMPRODUCT(Normalizacao!$AL$5:$AL$17,Pesos_Indicadores!$I$5:$I$17,((Pesos_Indicadores!$B$5:$B$17=$A$10)*A80+(Pesos_Indicadores!$B$5:$B$17&lt;&gt;$A$10)*Pesos_Indicadores!$G$5:$G$17*(1-A80)/(1-$B$10)),Normalizacao!$AJ$5:$AJ$17)/B80,""))</f>
        <v>0.799553370419015</v>
      </c>
      <c r="E80" s="60" t="n">
        <f aca="false">IF(B80=0,"",IFERROR(SUMPRODUCT(Normalizacao!$AL$5:$AL$17,Pesos_Indicadores!$I$5:$I$17,((Pesos_Indicadores!$B$5:$B$17=$A$10)*A80+(Pesos_Indicadores!$B$5:$B$17&lt;&gt;$A$10)*Pesos_Indicadores!$G$5:$G$17*(1-A80)/(1-$B$10)),Normalizacao!$AK$5:$AK$17)/B80,""))</f>
        <v>0.840390665937515</v>
      </c>
      <c r="F80" s="17" t="str">
        <f aca="false">IF(C80="","",IF(INDEX(C80:E80,$B$5)&gt;=MAX(C80:E80),$B$4,INDEX(Pontuacao!$A$29:$A$31,MATCH(MAX(C80:E80),C80:E80,0))))</f>
        <v>Microsoft Azure</v>
      </c>
      <c r="G80" s="43" t="str">
        <f aca="false">IF(OR(F80="",F80=$B$4,ABS(A80-$B$10)&lt;0.000000001),"",ABS(A80-$B$10))</f>
        <v/>
      </c>
      <c r="I80" s="60" t="n">
        <f aca="false">(ROW()-17)*$B$6</f>
        <v>0.315</v>
      </c>
      <c r="J80" s="43" t="n">
        <f aca="false">IFERROR(SUMPRODUCT(Normalizacao!$AL$5:$AL$17,Pesos_Indicadores!$I$5:$I$17,((Pesos_Indicadores!$B$5:$B$17=$A$11)*I80+(Pesos_Indicadores!$B$5:$B$17&lt;&gt;$A$11)*Pesos_Indicadores!$G$5:$G$17*(1-I80)/(1-$B$11))),0)</f>
        <v>0.927307692307693</v>
      </c>
      <c r="K80" s="60" t="n">
        <f aca="false">IF(J80=0,"",IFERROR(SUMPRODUCT(Normalizacao!$AL$5:$AL$17,Pesos_Indicadores!$I$5:$I$17,((Pesos_Indicadores!$B$5:$B$17=$A$11)*I80+(Pesos_Indicadores!$B$5:$B$17&lt;&gt;$A$11)*Pesos_Indicadores!$G$5:$G$17*(1-I80)/(1-$B$11)),Normalizacao!$AI$5:$AI$17)/J80,""))</f>
        <v>0.76739306615275</v>
      </c>
      <c r="L80" s="60" t="n">
        <f aca="false">IF(J80=0,"",IFERROR(SUMPRODUCT(Normalizacao!$AL$5:$AL$17,Pesos_Indicadores!$I$5:$I$17,((Pesos_Indicadores!$B$5:$B$17=$A$11)*I80+(Pesos_Indicadores!$B$5:$B$17&lt;&gt;$A$11)*Pesos_Indicadores!$G$5:$G$17*(1-I80)/(1-$B$11)),Normalizacao!$AJ$5:$AJ$17)/J80,""))</f>
        <v>0.786331490180874</v>
      </c>
      <c r="M80" s="60" t="n">
        <f aca="false">IF(J80=0,"",IFERROR(SUMPRODUCT(Normalizacao!$AL$5:$AL$17,Pesos_Indicadores!$I$5:$I$17,((Pesos_Indicadores!$B$5:$B$17=$A$11)*I80+(Pesos_Indicadores!$B$5:$B$17&lt;&gt;$A$11)*Pesos_Indicadores!$G$5:$G$17*(1-I80)/(1-$B$11)),Normalizacao!$AK$5:$AK$17)/J80,""))</f>
        <v>0.828183002482123</v>
      </c>
      <c r="N80" s="17" t="str">
        <f aca="false">IF(K80="","",IF(INDEX(K80:M80,$B$5)&gt;=MAX(K80:M80),$B$4,INDEX(Pontuacao!$A$29:$A$31,MATCH(MAX(K80:M80),K80:M80,0))))</f>
        <v>Microsoft Azure</v>
      </c>
      <c r="O80" s="43" t="str">
        <f aca="false">IF(OR(N80="",N80=$B$4,ABS(I80-$B$11)&lt;0.000000001),"",ABS(I80-$B$11))</f>
        <v/>
      </c>
      <c r="Q80" s="60" t="n">
        <f aca="false">(ROW()-17)*$B$6</f>
        <v>0.315</v>
      </c>
      <c r="R80" s="43" t="n">
        <f aca="false">IFERROR(SUMPRODUCT(Normalizacao!$AL$5:$AL$17,Pesos_Indicadores!$I$5:$I$17,((Pesos_Indicadores!$B$5:$B$17=$A$12)*Q80+(Pesos_Indicadores!$B$5:$B$17&lt;&gt;$A$12)*Pesos_Indicadores!$G$5:$G$17*(1-Q80)/(1-$B$12))),0)</f>
        <v>0.920961538461539</v>
      </c>
      <c r="S80" s="60" t="n">
        <f aca="false">IF(R80=0,"",IFERROR(SUMPRODUCT(Normalizacao!$AL$5:$AL$17,Pesos_Indicadores!$I$5:$I$17,((Pesos_Indicadores!$B$5:$B$17=$A$12)*Q80+(Pesos_Indicadores!$B$5:$B$17&lt;&gt;$A$12)*Pesos_Indicadores!$G$5:$G$17*(1-Q80)/(1-$B$12)),Normalizacao!$AI$5:$AI$17)/R80,""))</f>
        <v>0.734620343483565</v>
      </c>
      <c r="T80" s="60" t="n">
        <f aca="false">IF(R80=0,"",IFERROR(SUMPRODUCT(Normalizacao!$AL$5:$AL$17,Pesos_Indicadores!$I$5:$I$17,((Pesos_Indicadores!$B$5:$B$17=$A$12)*Q80+(Pesos_Indicadores!$B$5:$B$17&lt;&gt;$A$12)*Pesos_Indicadores!$G$5:$G$17*(1-Q80)/(1-$B$12)),Normalizacao!$AJ$5:$AJ$17)/R80,""))</f>
        <v>0.829964967271011</v>
      </c>
      <c r="U80" s="60" t="n">
        <f aca="false">IF(R80=0,"",IFERROR(SUMPRODUCT(Normalizacao!$AL$5:$AL$17,Pesos_Indicadores!$I$5:$I$17,((Pesos_Indicadores!$B$5:$B$17=$A$12)*Q80+(Pesos_Indicadores!$B$5:$B$17&lt;&gt;$A$12)*Pesos_Indicadores!$G$5:$G$17*(1-Q80)/(1-$B$12)),Normalizacao!$AK$5:$AK$17)/R80,""))</f>
        <v>0.853221897544735</v>
      </c>
      <c r="V80" s="17" t="str">
        <f aca="false">IF(S80="","",IF(INDEX(S80:U80,$B$5)&gt;=MAX(S80:U80),$B$4,INDEX(Pontuacao!$A$29:$A$31,MATCH(MAX(S80:U80),S80:U80,0))))</f>
        <v>Microsoft Azure</v>
      </c>
      <c r="W80" s="43" t="str">
        <f aca="false">IF(OR(V80="",V80=$B$4,ABS(Q80-$B$12)&lt;0.000000001),"",ABS(Q80-$B$12))</f>
        <v/>
      </c>
    </row>
    <row r="81" customFormat="false" ht="15" hidden="false" customHeight="true" outlineLevel="0" collapsed="false">
      <c r="A81" s="60" t="n">
        <f aca="false">(ROW()-17)*$B$6</f>
        <v>0.32</v>
      </c>
      <c r="B81" s="43" t="n">
        <f aca="false">IFERROR(SUMPRODUCT(Normalizacao!$AL$5:$AL$17,Pesos_Indicadores!$I$5:$I$17,((Pesos_Indicadores!$B$5:$B$17=$A$10)*A81+(Pesos_Indicadores!$B$5:$B$17&lt;&gt;$A$10)*Pesos_Indicadores!$G$5:$G$17*(1-A81)/(1-$B$10))),0)</f>
        <v>0.984307692307692</v>
      </c>
      <c r="C81" s="60" t="n">
        <f aca="false">IF(B81=0,"",IFERROR(SUMPRODUCT(Normalizacao!$AL$5:$AL$17,Pesos_Indicadores!$I$5:$I$17,((Pesos_Indicadores!$B$5:$B$17=$A$10)*A81+(Pesos_Indicadores!$B$5:$B$17&lt;&gt;$A$10)*Pesos_Indicadores!$G$5:$G$17*(1-A81)/(1-$B$10)),Normalizacao!$AI$5:$AI$17)/B81,""))</f>
        <v>0.716861783895568</v>
      </c>
      <c r="D81" s="60" t="n">
        <f aca="false">IF(B81=0,"",IFERROR(SUMPRODUCT(Normalizacao!$AL$5:$AL$17,Pesos_Indicadores!$I$5:$I$17,((Pesos_Indicadores!$B$5:$B$17=$A$10)*A81+(Pesos_Indicadores!$B$5:$B$17&lt;&gt;$A$10)*Pesos_Indicadores!$G$5:$G$17*(1-A81)/(1-$B$10)),Normalizacao!$AJ$5:$AJ$17)/B81,""))</f>
        <v>0.800209984098292</v>
      </c>
      <c r="E81" s="60" t="n">
        <f aca="false">IF(B81=0,"",IFERROR(SUMPRODUCT(Normalizacao!$AL$5:$AL$17,Pesos_Indicadores!$I$5:$I$17,((Pesos_Indicadores!$B$5:$B$17=$A$10)*A81+(Pesos_Indicadores!$B$5:$B$17&lt;&gt;$A$10)*Pesos_Indicadores!$G$5:$G$17*(1-A81)/(1-$B$10)),Normalizacao!$AK$5:$AK$17)/B81,""))</f>
        <v>0.840783982665225</v>
      </c>
      <c r="F81" s="17" t="str">
        <f aca="false">IF(C81="","",IF(INDEX(C81:E81,$B$5)&gt;=MAX(C81:E81),$B$4,INDEX(Pontuacao!$A$29:$A$31,MATCH(MAX(C81:E81),C81:E81,0))))</f>
        <v>Microsoft Azure</v>
      </c>
      <c r="G81" s="43" t="str">
        <f aca="false">IF(OR(F81="",F81=$B$4,ABS(A81-$B$10)&lt;0.000000001),"",ABS(A81-$B$10))</f>
        <v/>
      </c>
      <c r="I81" s="60" t="n">
        <f aca="false">(ROW()-17)*$B$6</f>
        <v>0.32</v>
      </c>
      <c r="J81" s="43" t="n">
        <f aca="false">IFERROR(SUMPRODUCT(Normalizacao!$AL$5:$AL$17,Pesos_Indicadores!$I$5:$I$17,((Pesos_Indicadores!$B$5:$B$17=$A$11)*I81+(Pesos_Indicadores!$B$5:$B$17&lt;&gt;$A$11)*Pesos_Indicadores!$G$5:$G$17*(1-I81)/(1-$B$11))),0)</f>
        <v>0.926153846153846</v>
      </c>
      <c r="K81" s="60" t="n">
        <f aca="false">IF(J81=0,"",IFERROR(SUMPRODUCT(Normalizacao!$AL$5:$AL$17,Pesos_Indicadores!$I$5:$I$17,((Pesos_Indicadores!$B$5:$B$17=$A$11)*I81+(Pesos_Indicadores!$B$5:$B$17&lt;&gt;$A$11)*Pesos_Indicadores!$G$5:$G$17*(1-I81)/(1-$B$11)),Normalizacao!$AI$5:$AI$17)/J81,""))</f>
        <v>0.767893872066415</v>
      </c>
      <c r="L81" s="60" t="n">
        <f aca="false">IF(J81=0,"",IFERROR(SUMPRODUCT(Normalizacao!$AL$5:$AL$17,Pesos_Indicadores!$I$5:$I$17,((Pesos_Indicadores!$B$5:$B$17=$A$11)*I81+(Pesos_Indicadores!$B$5:$B$17&lt;&gt;$A$11)*Pesos_Indicadores!$G$5:$G$17*(1-I81)/(1-$B$11)),Normalizacao!$AJ$5:$AJ$17)/J81,""))</f>
        <v>0.786717481583129</v>
      </c>
      <c r="M81" s="60" t="n">
        <f aca="false">IF(J81=0,"",IFERROR(SUMPRODUCT(Normalizacao!$AL$5:$AL$17,Pesos_Indicadores!$I$5:$I$17,((Pesos_Indicadores!$B$5:$B$17=$A$11)*I81+(Pesos_Indicadores!$B$5:$B$17&lt;&gt;$A$11)*Pesos_Indicadores!$G$5:$G$17*(1-I81)/(1-$B$11)),Normalizacao!$AK$5:$AK$17)/J81,""))</f>
        <v>0.828313085669032</v>
      </c>
      <c r="N81" s="17" t="str">
        <f aca="false">IF(K81="","",IF(INDEX(K81:M81,$B$5)&gt;=MAX(K81:M81),$B$4,INDEX(Pontuacao!$A$29:$A$31,MATCH(MAX(K81:M81),K81:M81,0))))</f>
        <v>Microsoft Azure</v>
      </c>
      <c r="O81" s="43" t="str">
        <f aca="false">IF(OR(N81="",N81=$B$4,ABS(I81-$B$11)&lt;0.000000001),"",ABS(I81-$B$11))</f>
        <v/>
      </c>
      <c r="Q81" s="60" t="n">
        <f aca="false">(ROW()-17)*$B$6</f>
        <v>0.32</v>
      </c>
      <c r="R81" s="43" t="n">
        <f aca="false">IFERROR(SUMPRODUCT(Normalizacao!$AL$5:$AL$17,Pesos_Indicadores!$I$5:$I$17,((Pesos_Indicadores!$B$5:$B$17=$A$12)*Q81+(Pesos_Indicadores!$B$5:$B$17&lt;&gt;$A$12)*Pesos_Indicadores!$G$5:$G$17*(1-Q81)/(1-$B$12))),0)</f>
        <v>0.921538461538462</v>
      </c>
      <c r="S81" s="60" t="n">
        <f aca="false">IF(R81=0,"",IFERROR(SUMPRODUCT(Normalizacao!$AL$5:$AL$17,Pesos_Indicadores!$I$5:$I$17,((Pesos_Indicadores!$B$5:$B$17=$A$12)*Q81+(Pesos_Indicadores!$B$5:$B$17&lt;&gt;$A$12)*Pesos_Indicadores!$G$5:$G$17*(1-Q81)/(1-$B$12)),Normalizacao!$AI$5:$AI$17)/R81,""))</f>
        <v>0.734742161802852</v>
      </c>
      <c r="T81" s="60" t="n">
        <f aca="false">IF(R81=0,"",IFERROR(SUMPRODUCT(Normalizacao!$AL$5:$AL$17,Pesos_Indicadores!$I$5:$I$17,((Pesos_Indicadores!$B$5:$B$17=$A$12)*Q81+(Pesos_Indicadores!$B$5:$B$17&lt;&gt;$A$12)*Pesos_Indicadores!$G$5:$G$17*(1-Q81)/(1-$B$12)),Normalizacao!$AJ$5:$AJ$17)/R81,""))</f>
        <v>0.82933158525078</v>
      </c>
      <c r="U81" s="60" t="n">
        <f aca="false">IF(R81=0,"",IFERROR(SUMPRODUCT(Normalizacao!$AL$5:$AL$17,Pesos_Indicadores!$I$5:$I$17,((Pesos_Indicadores!$B$5:$B$17=$A$12)*Q81+(Pesos_Indicadores!$B$5:$B$17&lt;&gt;$A$12)*Pesos_Indicadores!$G$5:$G$17*(1-Q81)/(1-$B$12)),Normalizacao!$AK$5:$AK$17)/R81,""))</f>
        <v>0.852899349826468</v>
      </c>
      <c r="V81" s="17" t="str">
        <f aca="false">IF(S81="","",IF(INDEX(S81:U81,$B$5)&gt;=MAX(S81:U81),$B$4,INDEX(Pontuacao!$A$29:$A$31,MATCH(MAX(S81:U81),S81:U81,0))))</f>
        <v>Microsoft Azure</v>
      </c>
      <c r="W81" s="43" t="str">
        <f aca="false">IF(OR(V81="",V81=$B$4,ABS(Q81-$B$12)&lt;0.000000001),"",ABS(Q81-$B$12))</f>
        <v/>
      </c>
    </row>
    <row r="82" customFormat="false" ht="15" hidden="false" customHeight="true" outlineLevel="0" collapsed="false">
      <c r="A82" s="60" t="n">
        <f aca="false">(ROW()-17)*$B$6</f>
        <v>0.325</v>
      </c>
      <c r="B82" s="43" t="n">
        <f aca="false">IFERROR(SUMPRODUCT(Normalizacao!$AL$5:$AL$17,Pesos_Indicadores!$I$5:$I$17,((Pesos_Indicadores!$B$5:$B$17=$A$10)*A82+(Pesos_Indicadores!$B$5:$B$17&lt;&gt;$A$10)*Pesos_Indicadores!$G$5:$G$17*(1-A82)/(1-$B$10))),0)</f>
        <v>0.984423076923077</v>
      </c>
      <c r="C82" s="60" t="n">
        <f aca="false">IF(B82=0,"",IFERROR(SUMPRODUCT(Normalizacao!$AL$5:$AL$17,Pesos_Indicadores!$I$5:$I$17,((Pesos_Indicadores!$B$5:$B$17=$A$10)*A82+(Pesos_Indicadores!$B$5:$B$17&lt;&gt;$A$10)*Pesos_Indicadores!$G$5:$G$17*(1-A82)/(1-$B$10)),Normalizacao!$AI$5:$AI$17)/B82,""))</f>
        <v>0.716225849942982</v>
      </c>
      <c r="D82" s="60" t="n">
        <f aca="false">IF(B82=0,"",IFERROR(SUMPRODUCT(Normalizacao!$AL$5:$AL$17,Pesos_Indicadores!$I$5:$I$17,((Pesos_Indicadores!$B$5:$B$17=$A$10)*A82+(Pesos_Indicadores!$B$5:$B$17&lt;&gt;$A$10)*Pesos_Indicadores!$G$5:$G$17*(1-A82)/(1-$B$10)),Normalizacao!$AJ$5:$AJ$17)/B82,""))</f>
        <v>0.800866443853674</v>
      </c>
      <c r="E82" s="60" t="n">
        <f aca="false">IF(B82=0,"",IFERROR(SUMPRODUCT(Normalizacao!$AL$5:$AL$17,Pesos_Indicadores!$I$5:$I$17,((Pesos_Indicadores!$B$5:$B$17=$A$10)*A82+(Pesos_Indicadores!$B$5:$B$17&lt;&gt;$A$10)*Pesos_Indicadores!$G$5:$G$17*(1-A82)/(1-$B$10)),Normalizacao!$AK$5:$AK$17)/B82,""))</f>
        <v>0.841177207191319</v>
      </c>
      <c r="F82" s="17" t="str">
        <f aca="false">IF(C82="","",IF(INDEX(C82:E82,$B$5)&gt;=MAX(C82:E82),$B$4,INDEX(Pontuacao!$A$29:$A$31,MATCH(MAX(C82:E82),C82:E82,0))))</f>
        <v>Microsoft Azure</v>
      </c>
      <c r="G82" s="43" t="str">
        <f aca="false">IF(OR(F82="",F82=$B$4,ABS(A82-$B$10)&lt;0.000000001),"",ABS(A82-$B$10))</f>
        <v/>
      </c>
      <c r="I82" s="60" t="n">
        <f aca="false">(ROW()-17)*$B$6</f>
        <v>0.325</v>
      </c>
      <c r="J82" s="43" t="n">
        <f aca="false">IFERROR(SUMPRODUCT(Normalizacao!$AL$5:$AL$17,Pesos_Indicadores!$I$5:$I$17,((Pesos_Indicadores!$B$5:$B$17=$A$11)*I82+(Pesos_Indicadores!$B$5:$B$17&lt;&gt;$A$11)*Pesos_Indicadores!$G$5:$G$17*(1-I82)/(1-$B$11))),0)</f>
        <v>0.925</v>
      </c>
      <c r="K82" s="60" t="n">
        <f aca="false">IF(J82=0,"",IFERROR(SUMPRODUCT(Normalizacao!$AL$5:$AL$17,Pesos_Indicadores!$I$5:$I$17,((Pesos_Indicadores!$B$5:$B$17=$A$11)*I82+(Pesos_Indicadores!$B$5:$B$17&lt;&gt;$A$11)*Pesos_Indicadores!$G$5:$G$17*(1-I82)/(1-$B$11)),Normalizacao!$AI$5:$AI$17)/J82,""))</f>
        <v>0.768395927391923</v>
      </c>
      <c r="L82" s="60" t="n">
        <f aca="false">IF(J82=0,"",IFERROR(SUMPRODUCT(Normalizacao!$AL$5:$AL$17,Pesos_Indicadores!$I$5:$I$17,((Pesos_Indicadores!$B$5:$B$17=$A$11)*I82+(Pesos_Indicadores!$B$5:$B$17&lt;&gt;$A$11)*Pesos_Indicadores!$G$5:$G$17*(1-I82)/(1-$B$11)),Normalizacao!$AJ$5:$AJ$17)/J82,""))</f>
        <v>0.787104435957697</v>
      </c>
      <c r="M82" s="60" t="n">
        <f aca="false">IF(J82=0,"",IFERROR(SUMPRODUCT(Normalizacao!$AL$5:$AL$17,Pesos_Indicadores!$I$5:$I$17,((Pesos_Indicadores!$B$5:$B$17=$A$11)*I82+(Pesos_Indicadores!$B$5:$B$17&lt;&gt;$A$11)*Pesos_Indicadores!$G$5:$G$17*(1-I82)/(1-$B$11)),Normalizacao!$AK$5:$AK$17)/J82,""))</f>
        <v>0.8284434933878</v>
      </c>
      <c r="N82" s="17" t="str">
        <f aca="false">IF(K82="","",IF(INDEX(K82:M82,$B$5)&gt;=MAX(K82:M82),$B$4,INDEX(Pontuacao!$A$29:$A$31,MATCH(MAX(K82:M82),K82:M82,0))))</f>
        <v>Microsoft Azure</v>
      </c>
      <c r="O82" s="43" t="str">
        <f aca="false">IF(OR(N82="",N82=$B$4,ABS(I82-$B$11)&lt;0.000000001),"",ABS(I82-$B$11))</f>
        <v/>
      </c>
      <c r="Q82" s="60" t="n">
        <f aca="false">(ROW()-17)*$B$6</f>
        <v>0.325</v>
      </c>
      <c r="R82" s="43" t="n">
        <f aca="false">IFERROR(SUMPRODUCT(Normalizacao!$AL$5:$AL$17,Pesos_Indicadores!$I$5:$I$17,((Pesos_Indicadores!$B$5:$B$17=$A$12)*Q82+(Pesos_Indicadores!$B$5:$B$17&lt;&gt;$A$12)*Pesos_Indicadores!$G$5:$G$17*(1-Q82)/(1-$B$12))),0)</f>
        <v>0.922115384615385</v>
      </c>
      <c r="S82" s="60" t="n">
        <f aca="false">IF(R82=0,"",IFERROR(SUMPRODUCT(Normalizacao!$AL$5:$AL$17,Pesos_Indicadores!$I$5:$I$17,((Pesos_Indicadores!$B$5:$B$17=$A$12)*Q82+(Pesos_Indicadores!$B$5:$B$17&lt;&gt;$A$12)*Pesos_Indicadores!$G$5:$G$17*(1-Q82)/(1-$B$12)),Normalizacao!$AI$5:$AI$17)/R82,""))</f>
        <v>0.734863827690458</v>
      </c>
      <c r="T82" s="60" t="n">
        <f aca="false">IF(R82=0,"",IFERROR(SUMPRODUCT(Normalizacao!$AL$5:$AL$17,Pesos_Indicadores!$I$5:$I$17,((Pesos_Indicadores!$B$5:$B$17=$A$12)*Q82+(Pesos_Indicadores!$B$5:$B$17&lt;&gt;$A$12)*Pesos_Indicadores!$G$5:$G$17*(1-Q82)/(1-$B$12)),Normalizacao!$AJ$5:$AJ$17)/R82,""))</f>
        <v>0.828698995783652</v>
      </c>
      <c r="U82" s="60" t="n">
        <f aca="false">IF(R82=0,"",IFERROR(SUMPRODUCT(Normalizacao!$AL$5:$AL$17,Pesos_Indicadores!$I$5:$I$17,((Pesos_Indicadores!$B$5:$B$17=$A$12)*Q82+(Pesos_Indicadores!$B$5:$B$17&lt;&gt;$A$12)*Pesos_Indicadores!$G$5:$G$17*(1-Q82)/(1-$B$12)),Normalizacao!$AK$5:$AK$17)/R82,""))</f>
        <v>0.852577205713272</v>
      </c>
      <c r="V82" s="17" t="str">
        <f aca="false">IF(S82="","",IF(INDEX(S82:U82,$B$5)&gt;=MAX(S82:U82),$B$4,INDEX(Pontuacao!$A$29:$A$31,MATCH(MAX(S82:U82),S82:U82,0))))</f>
        <v>Microsoft Azure</v>
      </c>
      <c r="W82" s="43" t="str">
        <f aca="false">IF(OR(V82="",V82=$B$4,ABS(Q82-$B$12)&lt;0.000000001),"",ABS(Q82-$B$12))</f>
        <v/>
      </c>
    </row>
    <row r="83" customFormat="false" ht="15" hidden="false" customHeight="true" outlineLevel="0" collapsed="false">
      <c r="A83" s="60" t="n">
        <f aca="false">(ROW()-17)*$B$6</f>
        <v>0.33</v>
      </c>
      <c r="B83" s="43" t="n">
        <f aca="false">IFERROR(SUMPRODUCT(Normalizacao!$AL$5:$AL$17,Pesos_Indicadores!$I$5:$I$17,((Pesos_Indicadores!$B$5:$B$17=$A$10)*A83+(Pesos_Indicadores!$B$5:$B$17&lt;&gt;$A$10)*Pesos_Indicadores!$G$5:$G$17*(1-A83)/(1-$B$10))),0)</f>
        <v>0.984538461538462</v>
      </c>
      <c r="C83" s="60" t="n">
        <f aca="false">IF(B83=0,"",IFERROR(SUMPRODUCT(Normalizacao!$AL$5:$AL$17,Pesos_Indicadores!$I$5:$I$17,((Pesos_Indicadores!$B$5:$B$17=$A$10)*A83+(Pesos_Indicadores!$B$5:$B$17&lt;&gt;$A$10)*Pesos_Indicadores!$G$5:$G$17*(1-A83)/(1-$B$10)),Normalizacao!$AI$5:$AI$17)/B83,""))</f>
        <v>0.715590065049061</v>
      </c>
      <c r="D83" s="60" t="n">
        <f aca="false">IF(B83=0,"",IFERROR(SUMPRODUCT(Normalizacao!$AL$5:$AL$17,Pesos_Indicadores!$I$5:$I$17,((Pesos_Indicadores!$B$5:$B$17=$A$10)*A83+(Pesos_Indicadores!$B$5:$B$17&lt;&gt;$A$10)*Pesos_Indicadores!$G$5:$G$17*(1-A83)/(1-$B$10)),Normalizacao!$AJ$5:$AJ$17)/B83,""))</f>
        <v>0.80152274973928</v>
      </c>
      <c r="E83" s="60" t="n">
        <f aca="false">IF(B83=0,"",IFERROR(SUMPRODUCT(Normalizacao!$AL$5:$AL$17,Pesos_Indicadores!$I$5:$I$17,((Pesos_Indicadores!$B$5:$B$17=$A$10)*A83+(Pesos_Indicadores!$B$5:$B$17&lt;&gt;$A$10)*Pesos_Indicadores!$G$5:$G$17*(1-A83)/(1-$B$10)),Normalizacao!$AK$5:$AK$17)/B83,""))</f>
        <v>0.841570339548214</v>
      </c>
      <c r="F83" s="17" t="str">
        <f aca="false">IF(C83="","",IF(INDEX(C83:E83,$B$5)&gt;=MAX(C83:E83),$B$4,INDEX(Pontuacao!$A$29:$A$31,MATCH(MAX(C83:E83),C83:E83,0))))</f>
        <v>Microsoft Azure</v>
      </c>
      <c r="G83" s="43" t="str">
        <f aca="false">IF(OR(F83="",F83=$B$4,ABS(A83-$B$10)&lt;0.000000001),"",ABS(A83-$B$10))</f>
        <v/>
      </c>
      <c r="I83" s="60" t="n">
        <f aca="false">(ROW()-17)*$B$6</f>
        <v>0.33</v>
      </c>
      <c r="J83" s="43" t="n">
        <f aca="false">IFERROR(SUMPRODUCT(Normalizacao!$AL$5:$AL$17,Pesos_Indicadores!$I$5:$I$17,((Pesos_Indicadores!$B$5:$B$17=$A$11)*I83+(Pesos_Indicadores!$B$5:$B$17&lt;&gt;$A$11)*Pesos_Indicadores!$G$5:$G$17*(1-I83)/(1-$B$11))),0)</f>
        <v>0.923846153846154</v>
      </c>
      <c r="K83" s="60" t="n">
        <f aca="false">IF(J83=0,"",IFERROR(SUMPRODUCT(Normalizacao!$AL$5:$AL$17,Pesos_Indicadores!$I$5:$I$17,((Pesos_Indicadores!$B$5:$B$17=$A$11)*I83+(Pesos_Indicadores!$B$5:$B$17&lt;&gt;$A$11)*Pesos_Indicadores!$G$5:$G$17*(1-I83)/(1-$B$11)),Normalizacao!$AI$5:$AI$17)/J83,""))</f>
        <v>0.768899236810667</v>
      </c>
      <c r="L83" s="60" t="n">
        <f aca="false">IF(J83=0,"",IFERROR(SUMPRODUCT(Normalizacao!$AL$5:$AL$17,Pesos_Indicadores!$I$5:$I$17,((Pesos_Indicadores!$B$5:$B$17=$A$11)*I83+(Pesos_Indicadores!$B$5:$B$17&lt;&gt;$A$11)*Pesos_Indicadores!$G$5:$G$17*(1-I83)/(1-$B$11)),Normalizacao!$AJ$5:$AJ$17)/J83,""))</f>
        <v>0.787492356912718</v>
      </c>
      <c r="M83" s="60" t="n">
        <f aca="false">IF(J83=0,"",IFERROR(SUMPRODUCT(Normalizacao!$AL$5:$AL$17,Pesos_Indicadores!$I$5:$I$17,((Pesos_Indicadores!$B$5:$B$17=$A$11)*I83+(Pesos_Indicadores!$B$5:$B$17&lt;&gt;$A$11)*Pesos_Indicadores!$G$5:$G$17*(1-I83)/(1-$B$11)),Normalizacao!$AK$5:$AK$17)/J83,""))</f>
        <v>0.828574226854409</v>
      </c>
      <c r="N83" s="17" t="str">
        <f aca="false">IF(K83="","",IF(INDEX(K83:M83,$B$5)&gt;=MAX(K83:M83),$B$4,INDEX(Pontuacao!$A$29:$A$31,MATCH(MAX(K83:M83),K83:M83,0))))</f>
        <v>Microsoft Azure</v>
      </c>
      <c r="O83" s="43" t="str">
        <f aca="false">IF(OR(N83="",N83=$B$4,ABS(I83-$B$11)&lt;0.000000001),"",ABS(I83-$B$11))</f>
        <v/>
      </c>
      <c r="Q83" s="60" t="n">
        <f aca="false">(ROW()-17)*$B$6</f>
        <v>0.33</v>
      </c>
      <c r="R83" s="43" t="n">
        <f aca="false">IFERROR(SUMPRODUCT(Normalizacao!$AL$5:$AL$17,Pesos_Indicadores!$I$5:$I$17,((Pesos_Indicadores!$B$5:$B$17=$A$12)*Q83+(Pesos_Indicadores!$B$5:$B$17&lt;&gt;$A$12)*Pesos_Indicadores!$G$5:$G$17*(1-Q83)/(1-$B$12))),0)</f>
        <v>0.922692307692308</v>
      </c>
      <c r="S83" s="60" t="n">
        <f aca="false">IF(R83=0,"",IFERROR(SUMPRODUCT(Normalizacao!$AL$5:$AL$17,Pesos_Indicadores!$I$5:$I$17,((Pesos_Indicadores!$B$5:$B$17=$A$12)*Q83+(Pesos_Indicadores!$B$5:$B$17&lt;&gt;$A$12)*Pesos_Indicadores!$G$5:$G$17*(1-Q83)/(1-$B$12)),Normalizacao!$AI$5:$AI$17)/R83,""))</f>
        <v>0.734985341432309</v>
      </c>
      <c r="T83" s="60" t="n">
        <f aca="false">IF(R83=0,"",IFERROR(SUMPRODUCT(Normalizacao!$AL$5:$AL$17,Pesos_Indicadores!$I$5:$I$17,((Pesos_Indicadores!$B$5:$B$17=$A$12)*Q83+(Pesos_Indicadores!$B$5:$B$17&lt;&gt;$A$12)*Pesos_Indicadores!$G$5:$G$17*(1-Q83)/(1-$B$12)),Normalizacao!$AJ$5:$AJ$17)/R83,""))</f>
        <v>0.828067197382968</v>
      </c>
      <c r="U83" s="60" t="n">
        <f aca="false">IF(R83=0,"",IFERROR(SUMPRODUCT(Normalizacao!$AL$5:$AL$17,Pesos_Indicadores!$I$5:$I$17,((Pesos_Indicadores!$B$5:$B$17=$A$12)*Q83+(Pesos_Indicadores!$B$5:$B$17&lt;&gt;$A$12)*Pesos_Indicadores!$G$5:$G$17*(1-Q83)/(1-$B$12)),Normalizacao!$AK$5:$AK$17)/R83,""))</f>
        <v>0.85225546444807</v>
      </c>
      <c r="V83" s="17" t="str">
        <f aca="false">IF(S83="","",IF(INDEX(S83:U83,$B$5)&gt;=MAX(S83:U83),$B$4,INDEX(Pontuacao!$A$29:$A$31,MATCH(MAX(S83:U83),S83:U83,0))))</f>
        <v>Microsoft Azure</v>
      </c>
      <c r="W83" s="43" t="str">
        <f aca="false">IF(OR(V83="",V83=$B$4,ABS(Q83-$B$12)&lt;0.000000001),"",ABS(Q83-$B$12))</f>
        <v/>
      </c>
    </row>
    <row r="84" customFormat="false" ht="15" hidden="false" customHeight="true" outlineLevel="0" collapsed="false">
      <c r="A84" s="60" t="n">
        <f aca="false">(ROW()-17)*$B$6</f>
        <v>0.335</v>
      </c>
      <c r="B84" s="43" t="n">
        <f aca="false">IFERROR(SUMPRODUCT(Normalizacao!$AL$5:$AL$17,Pesos_Indicadores!$I$5:$I$17,((Pesos_Indicadores!$B$5:$B$17=$A$10)*A84+(Pesos_Indicadores!$B$5:$B$17&lt;&gt;$A$10)*Pesos_Indicadores!$G$5:$G$17*(1-A84)/(1-$B$10))),0)</f>
        <v>0.984653846153846</v>
      </c>
      <c r="C84" s="60" t="n">
        <f aca="false">IF(B84=0,"",IFERROR(SUMPRODUCT(Normalizacao!$AL$5:$AL$17,Pesos_Indicadores!$I$5:$I$17,((Pesos_Indicadores!$B$5:$B$17=$A$10)*A84+(Pesos_Indicadores!$B$5:$B$17&lt;&gt;$A$10)*Pesos_Indicadores!$G$5:$G$17*(1-A84)/(1-$B$10)),Normalizacao!$AI$5:$AI$17)/B84,""))</f>
        <v>0.714954429161404</v>
      </c>
      <c r="D84" s="60" t="n">
        <f aca="false">IF(B84=0,"",IFERROR(SUMPRODUCT(Normalizacao!$AL$5:$AL$17,Pesos_Indicadores!$I$5:$I$17,((Pesos_Indicadores!$B$5:$B$17=$A$10)*A84+(Pesos_Indicadores!$B$5:$B$17&lt;&gt;$A$10)*Pesos_Indicadores!$G$5:$G$17*(1-A84)/(1-$B$10)),Normalizacao!$AJ$5:$AJ$17)/B84,""))</f>
        <v>0.802178901809202</v>
      </c>
      <c r="E84" s="60" t="n">
        <f aca="false">IF(B84=0,"",IFERROR(SUMPRODUCT(Normalizacao!$AL$5:$AL$17,Pesos_Indicadores!$I$5:$I$17,((Pesos_Indicadores!$B$5:$B$17=$A$10)*A84+(Pesos_Indicadores!$B$5:$B$17&lt;&gt;$A$10)*Pesos_Indicadores!$G$5:$G$17*(1-A84)/(1-$B$10)),Normalizacao!$AK$5:$AK$17)/B84,""))</f>
        <v>0.841963379768312</v>
      </c>
      <c r="F84" s="17" t="str">
        <f aca="false">IF(C84="","",IF(INDEX(C84:E84,$B$5)&gt;=MAX(C84:E84),$B$4,INDEX(Pontuacao!$A$29:$A$31,MATCH(MAX(C84:E84),C84:E84,0))))</f>
        <v>Microsoft Azure</v>
      </c>
      <c r="G84" s="43" t="str">
        <f aca="false">IF(OR(F84="",F84=$B$4,ABS(A84-$B$10)&lt;0.000000001),"",ABS(A84-$B$10))</f>
        <v/>
      </c>
      <c r="I84" s="60" t="n">
        <f aca="false">(ROW()-17)*$B$6</f>
        <v>0.335</v>
      </c>
      <c r="J84" s="43" t="n">
        <f aca="false">IFERROR(SUMPRODUCT(Normalizacao!$AL$5:$AL$17,Pesos_Indicadores!$I$5:$I$17,((Pesos_Indicadores!$B$5:$B$17=$A$11)*I84+(Pesos_Indicadores!$B$5:$B$17&lt;&gt;$A$11)*Pesos_Indicadores!$G$5:$G$17*(1-I84)/(1-$B$11))),0)</f>
        <v>0.922692307692308</v>
      </c>
      <c r="K84" s="60" t="n">
        <f aca="false">IF(J84=0,"",IFERROR(SUMPRODUCT(Normalizacao!$AL$5:$AL$17,Pesos_Indicadores!$I$5:$I$17,((Pesos_Indicadores!$B$5:$B$17=$A$11)*I84+(Pesos_Indicadores!$B$5:$B$17&lt;&gt;$A$11)*Pesos_Indicadores!$G$5:$G$17*(1-I84)/(1-$B$11)),Normalizacao!$AI$5:$AI$17)/J84,""))</f>
        <v>0.769403805027457</v>
      </c>
      <c r="L84" s="60" t="n">
        <f aca="false">IF(J84=0,"",IFERROR(SUMPRODUCT(Normalizacao!$AL$5:$AL$17,Pesos_Indicadores!$I$5:$I$17,((Pesos_Indicadores!$B$5:$B$17=$A$11)*I84+(Pesos_Indicadores!$B$5:$B$17&lt;&gt;$A$11)*Pesos_Indicadores!$G$5:$G$17*(1-I84)/(1-$B$11)),Normalizacao!$AJ$5:$AJ$17)/J84,""))</f>
        <v>0.787881248074379</v>
      </c>
      <c r="M84" s="60" t="n">
        <f aca="false">IF(J84=0,"",IFERROR(SUMPRODUCT(Normalizacao!$AL$5:$AL$17,Pesos_Indicadores!$I$5:$I$17,((Pesos_Indicadores!$B$5:$B$17=$A$11)*I84+(Pesos_Indicadores!$B$5:$B$17&lt;&gt;$A$11)*Pesos_Indicadores!$G$5:$G$17*(1-I84)/(1-$B$11)),Normalizacao!$AK$5:$AK$17)/J84,""))</f>
        <v>0.828705287290922</v>
      </c>
      <c r="N84" s="17" t="str">
        <f aca="false">IF(K84="","",IF(INDEX(K84:M84,$B$5)&gt;=MAX(K84:M84),$B$4,INDEX(Pontuacao!$A$29:$A$31,MATCH(MAX(K84:M84),K84:M84,0))))</f>
        <v>Microsoft Azure</v>
      </c>
      <c r="O84" s="43" t="str">
        <f aca="false">IF(OR(N84="",N84=$B$4,ABS(I84-$B$11)&lt;0.000000001),"",ABS(I84-$B$11))</f>
        <v/>
      </c>
      <c r="Q84" s="60" t="n">
        <f aca="false">(ROW()-17)*$B$6</f>
        <v>0.335</v>
      </c>
      <c r="R84" s="43" t="n">
        <f aca="false">IFERROR(SUMPRODUCT(Normalizacao!$AL$5:$AL$17,Pesos_Indicadores!$I$5:$I$17,((Pesos_Indicadores!$B$5:$B$17=$A$12)*Q84+(Pesos_Indicadores!$B$5:$B$17&lt;&gt;$A$12)*Pesos_Indicadores!$G$5:$G$17*(1-Q84)/(1-$B$12))),0)</f>
        <v>0.923269230769231</v>
      </c>
      <c r="S84" s="60" t="n">
        <f aca="false">IF(R84=0,"",IFERROR(SUMPRODUCT(Normalizacao!$AL$5:$AL$17,Pesos_Indicadores!$I$5:$I$17,((Pesos_Indicadores!$B$5:$B$17=$A$12)*Q84+(Pesos_Indicadores!$B$5:$B$17&lt;&gt;$A$12)*Pesos_Indicadores!$G$5:$G$17*(1-Q84)/(1-$B$12)),Normalizacao!$AI$5:$AI$17)/R84,""))</f>
        <v>0.735106703313621</v>
      </c>
      <c r="T84" s="60" t="n">
        <f aca="false">IF(R84=0,"",IFERROR(SUMPRODUCT(Normalizacao!$AL$5:$AL$17,Pesos_Indicadores!$I$5:$I$17,((Pesos_Indicadores!$B$5:$B$17=$A$12)*Q84+(Pesos_Indicadores!$B$5:$B$17&lt;&gt;$A$12)*Pesos_Indicadores!$G$5:$G$17*(1-Q84)/(1-$B$12)),Normalizacao!$AJ$5:$AJ$17)/R84,""))</f>
        <v>0.827436188565788</v>
      </c>
      <c r="U84" s="60" t="n">
        <f aca="false">IF(R84=0,"",IFERROR(SUMPRODUCT(Normalizacao!$AL$5:$AL$17,Pesos_Indicadores!$I$5:$I$17,((Pesos_Indicadores!$B$5:$B$17=$A$12)*Q84+(Pesos_Indicadores!$B$5:$B$17&lt;&gt;$A$12)*Pesos_Indicadores!$G$5:$G$17*(1-Q84)/(1-$B$12)),Normalizacao!$AK$5:$AK$17)/R84,""))</f>
        <v>0.851934125275681</v>
      </c>
      <c r="V84" s="17" t="str">
        <f aca="false">IF(S84="","",IF(INDEX(S84:U84,$B$5)&gt;=MAX(S84:U84),$B$4,INDEX(Pontuacao!$A$29:$A$31,MATCH(MAX(S84:U84),S84:U84,0))))</f>
        <v>Microsoft Azure</v>
      </c>
      <c r="W84" s="43" t="str">
        <f aca="false">IF(OR(V84="",V84=$B$4,ABS(Q84-$B$12)&lt;0.000000001),"",ABS(Q84-$B$12))</f>
        <v/>
      </c>
    </row>
    <row r="85" customFormat="false" ht="15" hidden="false" customHeight="true" outlineLevel="0" collapsed="false">
      <c r="A85" s="60" t="n">
        <f aca="false">(ROW()-17)*$B$6</f>
        <v>0.34</v>
      </c>
      <c r="B85" s="43" t="n">
        <f aca="false">IFERROR(SUMPRODUCT(Normalizacao!$AL$5:$AL$17,Pesos_Indicadores!$I$5:$I$17,((Pesos_Indicadores!$B$5:$B$17=$A$10)*A85+(Pesos_Indicadores!$B$5:$B$17&lt;&gt;$A$10)*Pesos_Indicadores!$G$5:$G$17*(1-A85)/(1-$B$10))),0)</f>
        <v>0.984769230769231</v>
      </c>
      <c r="C85" s="60" t="n">
        <f aca="false">IF(B85=0,"",IFERROR(SUMPRODUCT(Normalizacao!$AL$5:$AL$17,Pesos_Indicadores!$I$5:$I$17,((Pesos_Indicadores!$B$5:$B$17=$A$10)*A85+(Pesos_Indicadores!$B$5:$B$17&lt;&gt;$A$10)*Pesos_Indicadores!$G$5:$G$17*(1-A85)/(1-$B$10)),Normalizacao!$AI$5:$AI$17)/B85,""))</f>
        <v>0.714318942227634</v>
      </c>
      <c r="D85" s="60" t="n">
        <f aca="false">IF(B85=0,"",IFERROR(SUMPRODUCT(Normalizacao!$AL$5:$AL$17,Pesos_Indicadores!$I$5:$I$17,((Pesos_Indicadores!$B$5:$B$17=$A$10)*A85+(Pesos_Indicadores!$B$5:$B$17&lt;&gt;$A$10)*Pesos_Indicadores!$G$5:$G$17*(1-A85)/(1-$B$10)),Normalizacao!$AJ$5:$AJ$17)/B85,""))</f>
        <v>0.802834900117509</v>
      </c>
      <c r="E85" s="60" t="n">
        <f aca="false">IF(B85=0,"",IFERROR(SUMPRODUCT(Normalizacao!$AL$5:$AL$17,Pesos_Indicadores!$I$5:$I$17,((Pesos_Indicadores!$B$5:$B$17=$A$10)*A85+(Pesos_Indicadores!$B$5:$B$17&lt;&gt;$A$10)*Pesos_Indicadores!$G$5:$G$17*(1-A85)/(1-$B$10)),Normalizacao!$AK$5:$AK$17)/B85,""))</f>
        <v>0.842356327883999</v>
      </c>
      <c r="F85" s="17" t="str">
        <f aca="false">IF(C85="","",IF(INDEX(C85:E85,$B$5)&gt;=MAX(C85:E85),$B$4,INDEX(Pontuacao!$A$29:$A$31,MATCH(MAX(C85:E85),C85:E85,0))))</f>
        <v>Microsoft Azure</v>
      </c>
      <c r="G85" s="43" t="str">
        <f aca="false">IF(OR(F85="",F85=$B$4,ABS(A85-$B$10)&lt;0.000000001),"",ABS(A85-$B$10))</f>
        <v/>
      </c>
      <c r="I85" s="60" t="n">
        <f aca="false">(ROW()-17)*$B$6</f>
        <v>0.34</v>
      </c>
      <c r="J85" s="43" t="n">
        <f aca="false">IFERROR(SUMPRODUCT(Normalizacao!$AL$5:$AL$17,Pesos_Indicadores!$I$5:$I$17,((Pesos_Indicadores!$B$5:$B$17=$A$11)*I85+(Pesos_Indicadores!$B$5:$B$17&lt;&gt;$A$11)*Pesos_Indicadores!$G$5:$G$17*(1-I85)/(1-$B$11))),0)</f>
        <v>0.921538461538462</v>
      </c>
      <c r="K85" s="60" t="n">
        <f aca="false">IF(J85=0,"",IFERROR(SUMPRODUCT(Normalizacao!$AL$5:$AL$17,Pesos_Indicadores!$I$5:$I$17,((Pesos_Indicadores!$B$5:$B$17=$A$11)*I85+(Pesos_Indicadores!$B$5:$B$17&lt;&gt;$A$11)*Pesos_Indicadores!$G$5:$G$17*(1-I85)/(1-$B$11)),Normalizacao!$AI$5:$AI$17)/J85,""))</f>
        <v>0.769909636770667</v>
      </c>
      <c r="L85" s="60" t="n">
        <f aca="false">IF(J85=0,"",IFERROR(SUMPRODUCT(Normalizacao!$AL$5:$AL$17,Pesos_Indicadores!$I$5:$I$17,((Pesos_Indicadores!$B$5:$B$17=$A$11)*I85+(Pesos_Indicadores!$B$5:$B$17&lt;&gt;$A$11)*Pesos_Indicadores!$G$5:$G$17*(1-I85)/(1-$B$11)),Normalizacao!$AJ$5:$AJ$17)/J85,""))</f>
        <v>0.788271113087029</v>
      </c>
      <c r="M85" s="60" t="n">
        <f aca="false">IF(J85=0,"",IFERROR(SUMPRODUCT(Normalizacao!$AL$5:$AL$17,Pesos_Indicadores!$I$5:$I$17,((Pesos_Indicadores!$B$5:$B$17=$A$11)*I85+(Pesos_Indicadores!$B$5:$B$17&lt;&gt;$A$11)*Pesos_Indicadores!$G$5:$G$17*(1-I85)/(1-$B$11)),Normalizacao!$AK$5:$AK$17)/J85,""))</f>
        <v>0.828836675925523</v>
      </c>
      <c r="N85" s="17" t="str">
        <f aca="false">IF(K85="","",IF(INDEX(K85:M85,$B$5)&gt;=MAX(K85:M85),$B$4,INDEX(Pontuacao!$A$29:$A$31,MATCH(MAX(K85:M85),K85:M85,0))))</f>
        <v>Microsoft Azure</v>
      </c>
      <c r="O85" s="43" t="str">
        <f aca="false">IF(OR(N85="",N85=$B$4,ABS(I85-$B$11)&lt;0.000000001),"",ABS(I85-$B$11))</f>
        <v/>
      </c>
      <c r="Q85" s="60" t="n">
        <f aca="false">(ROW()-17)*$B$6</f>
        <v>0.34</v>
      </c>
      <c r="R85" s="43" t="n">
        <f aca="false">IFERROR(SUMPRODUCT(Normalizacao!$AL$5:$AL$17,Pesos_Indicadores!$I$5:$I$17,((Pesos_Indicadores!$B$5:$B$17=$A$12)*Q85+(Pesos_Indicadores!$B$5:$B$17&lt;&gt;$A$12)*Pesos_Indicadores!$G$5:$G$17*(1-Q85)/(1-$B$12))),0)</f>
        <v>0.923846153846154</v>
      </c>
      <c r="S85" s="60" t="n">
        <f aca="false">IF(R85=0,"",IFERROR(SUMPRODUCT(Normalizacao!$AL$5:$AL$17,Pesos_Indicadores!$I$5:$I$17,((Pesos_Indicadores!$B$5:$B$17=$A$12)*Q85+(Pesos_Indicadores!$B$5:$B$17&lt;&gt;$A$12)*Pesos_Indicadores!$G$5:$G$17*(1-Q85)/(1-$B$12)),Normalizacao!$AI$5:$AI$17)/R85,""))</f>
        <v>0.735227913618895</v>
      </c>
      <c r="T85" s="60" t="n">
        <f aca="false">IF(R85=0,"",IFERROR(SUMPRODUCT(Normalizacao!$AL$5:$AL$17,Pesos_Indicadores!$I$5:$I$17,((Pesos_Indicadores!$B$5:$B$17=$A$12)*Q85+(Pesos_Indicadores!$B$5:$B$17&lt;&gt;$A$12)*Pesos_Indicadores!$G$5:$G$17*(1-Q85)/(1-$B$12)),Normalizacao!$AJ$5:$AJ$17)/R85,""))</f>
        <v>0.826805967852876</v>
      </c>
      <c r="U85" s="60" t="n">
        <f aca="false">IF(R85=0,"",IFERROR(SUMPRODUCT(Normalizacao!$AL$5:$AL$17,Pesos_Indicadores!$I$5:$I$17,((Pesos_Indicadores!$B$5:$B$17=$A$12)*Q85+(Pesos_Indicadores!$B$5:$B$17&lt;&gt;$A$12)*Pesos_Indicadores!$G$5:$G$17*(1-Q85)/(1-$B$12)),Normalizacao!$AK$5:$AK$17)/R85,""))</f>
        <v>0.851613187442808</v>
      </c>
      <c r="V85" s="17" t="str">
        <f aca="false">IF(S85="","",IF(INDEX(S85:U85,$B$5)&gt;=MAX(S85:U85),$B$4,INDEX(Pontuacao!$A$29:$A$31,MATCH(MAX(S85:U85),S85:U85,0))))</f>
        <v>Microsoft Azure</v>
      </c>
      <c r="W85" s="43" t="str">
        <f aca="false">IF(OR(V85="",V85=$B$4,ABS(Q85-$B$12)&lt;0.000000001),"",ABS(Q85-$B$12))</f>
        <v/>
      </c>
    </row>
    <row r="86" customFormat="false" ht="15" hidden="false" customHeight="true" outlineLevel="0" collapsed="false">
      <c r="A86" s="60" t="n">
        <f aca="false">(ROW()-17)*$B$6</f>
        <v>0.345</v>
      </c>
      <c r="B86" s="43" t="n">
        <f aca="false">IFERROR(SUMPRODUCT(Normalizacao!$AL$5:$AL$17,Pesos_Indicadores!$I$5:$I$17,((Pesos_Indicadores!$B$5:$B$17=$A$10)*A86+(Pesos_Indicadores!$B$5:$B$17&lt;&gt;$A$10)*Pesos_Indicadores!$G$5:$G$17*(1-A86)/(1-$B$10))),0)</f>
        <v>0.984884615384616</v>
      </c>
      <c r="C86" s="60" t="n">
        <f aca="false">IF(B86=0,"",IFERROR(SUMPRODUCT(Normalizacao!$AL$5:$AL$17,Pesos_Indicadores!$I$5:$I$17,((Pesos_Indicadores!$B$5:$B$17=$A$10)*A86+(Pesos_Indicadores!$B$5:$B$17&lt;&gt;$A$10)*Pesos_Indicadores!$G$5:$G$17*(1-A86)/(1-$B$10)),Normalizacao!$AI$5:$AI$17)/B86,""))</f>
        <v>0.713683604195399</v>
      </c>
      <c r="D86" s="60" t="n">
        <f aca="false">IF(B86=0,"",IFERROR(SUMPRODUCT(Normalizacao!$AL$5:$AL$17,Pesos_Indicadores!$I$5:$I$17,((Pesos_Indicadores!$B$5:$B$17=$A$10)*A86+(Pesos_Indicadores!$B$5:$B$17&lt;&gt;$A$10)*Pesos_Indicadores!$G$5:$G$17*(1-A86)/(1-$B$10)),Normalizacao!$AJ$5:$AJ$17)/B86,""))</f>
        <v>0.803490744718241</v>
      </c>
      <c r="E86" s="60" t="n">
        <f aca="false">IF(B86=0,"",IFERROR(SUMPRODUCT(Normalizacao!$AL$5:$AL$17,Pesos_Indicadores!$I$5:$I$17,((Pesos_Indicadores!$B$5:$B$17=$A$10)*A86+(Pesos_Indicadores!$B$5:$B$17&lt;&gt;$A$10)*Pesos_Indicadores!$G$5:$G$17*(1-A86)/(1-$B$10)),Normalizacao!$AK$5:$AK$17)/B86,""))</f>
        <v>0.842749183927648</v>
      </c>
      <c r="F86" s="17" t="str">
        <f aca="false">IF(C86="","",IF(INDEX(C86:E86,$B$5)&gt;=MAX(C86:E86),$B$4,INDEX(Pontuacao!$A$29:$A$31,MATCH(MAX(C86:E86),C86:E86,0))))</f>
        <v>Microsoft Azure</v>
      </c>
      <c r="G86" s="43" t="str">
        <f aca="false">IF(OR(F86="",F86=$B$4,ABS(A86-$B$10)&lt;0.000000001),"",ABS(A86-$B$10))</f>
        <v/>
      </c>
      <c r="I86" s="60" t="n">
        <f aca="false">(ROW()-17)*$B$6</f>
        <v>0.345</v>
      </c>
      <c r="J86" s="43" t="n">
        <f aca="false">IFERROR(SUMPRODUCT(Normalizacao!$AL$5:$AL$17,Pesos_Indicadores!$I$5:$I$17,((Pesos_Indicadores!$B$5:$B$17=$A$11)*I86+(Pesos_Indicadores!$B$5:$B$17&lt;&gt;$A$11)*Pesos_Indicadores!$G$5:$G$17*(1-I86)/(1-$B$11))),0)</f>
        <v>0.920384615384616</v>
      </c>
      <c r="K86" s="60" t="n">
        <f aca="false">IF(J86=0,"",IFERROR(SUMPRODUCT(Normalizacao!$AL$5:$AL$17,Pesos_Indicadores!$I$5:$I$17,((Pesos_Indicadores!$B$5:$B$17=$A$11)*I86+(Pesos_Indicadores!$B$5:$B$17&lt;&gt;$A$11)*Pesos_Indicadores!$G$5:$G$17*(1-I86)/(1-$B$11)),Normalizacao!$AI$5:$AI$17)/J86,""))</f>
        <v>0.77041673679238</v>
      </c>
      <c r="L86" s="60" t="n">
        <f aca="false">IF(J86=0,"",IFERROR(SUMPRODUCT(Normalizacao!$AL$5:$AL$17,Pesos_Indicadores!$I$5:$I$17,((Pesos_Indicadores!$B$5:$B$17=$A$11)*I86+(Pesos_Indicadores!$B$5:$B$17&lt;&gt;$A$11)*Pesos_Indicadores!$G$5:$G$17*(1-I86)/(1-$B$11)),Normalizacao!$AJ$5:$AJ$17)/J86,""))</f>
        <v>0.788661955613292</v>
      </c>
      <c r="M86" s="60" t="n">
        <f aca="false">IF(J86=0,"",IFERROR(SUMPRODUCT(Normalizacao!$AL$5:$AL$17,Pesos_Indicadores!$I$5:$I$17,((Pesos_Indicadores!$B$5:$B$17=$A$11)*I86+(Pesos_Indicadores!$B$5:$B$17&lt;&gt;$A$11)*Pesos_Indicadores!$G$5:$G$17*(1-I86)/(1-$B$11)),Normalizacao!$AK$5:$AK$17)/J86,""))</f>
        <v>0.828968393992554</v>
      </c>
      <c r="N86" s="17" t="str">
        <f aca="false">IF(K86="","",IF(INDEX(K86:M86,$B$5)&gt;=MAX(K86:M86),$B$4,INDEX(Pontuacao!$A$29:$A$31,MATCH(MAX(K86:M86),K86:M86,0))))</f>
        <v>Microsoft Azure</v>
      </c>
      <c r="O86" s="43" t="str">
        <f aca="false">IF(OR(N86="",N86=$B$4,ABS(I86-$B$11)&lt;0.000000001),"",ABS(I86-$B$11))</f>
        <v/>
      </c>
      <c r="Q86" s="60" t="n">
        <f aca="false">(ROW()-17)*$B$6</f>
        <v>0.345</v>
      </c>
      <c r="R86" s="43" t="n">
        <f aca="false">IFERROR(SUMPRODUCT(Normalizacao!$AL$5:$AL$17,Pesos_Indicadores!$I$5:$I$17,((Pesos_Indicadores!$B$5:$B$17=$A$12)*Q86+(Pesos_Indicadores!$B$5:$B$17&lt;&gt;$A$12)*Pesos_Indicadores!$G$5:$G$17*(1-Q86)/(1-$B$12))),0)</f>
        <v>0.924423076923077</v>
      </c>
      <c r="S86" s="60" t="n">
        <f aca="false">IF(R86=0,"",IFERROR(SUMPRODUCT(Normalizacao!$AL$5:$AL$17,Pesos_Indicadores!$I$5:$I$17,((Pesos_Indicadores!$B$5:$B$17=$A$12)*Q86+(Pesos_Indicadores!$B$5:$B$17&lt;&gt;$A$12)*Pesos_Indicadores!$G$5:$G$17*(1-Q86)/(1-$B$12)),Normalizacao!$AI$5:$AI$17)/R86,""))</f>
        <v>0.735348972631922</v>
      </c>
      <c r="T86" s="60" t="n">
        <f aca="false">IF(R86=0,"",IFERROR(SUMPRODUCT(Normalizacao!$AL$5:$AL$17,Pesos_Indicadores!$I$5:$I$17,((Pesos_Indicadores!$B$5:$B$17=$A$12)*Q86+(Pesos_Indicadores!$B$5:$B$17&lt;&gt;$A$12)*Pesos_Indicadores!$G$5:$G$17*(1-Q86)/(1-$B$12)),Normalizacao!$AJ$5:$AJ$17)/R86,""))</f>
        <v>0.826176533768689</v>
      </c>
      <c r="U86" s="60" t="n">
        <f aca="false">IF(R86=0,"",IFERROR(SUMPRODUCT(Normalizacao!$AL$5:$AL$17,Pesos_Indicadores!$I$5:$I$17,((Pesos_Indicadores!$B$5:$B$17=$A$12)*Q86+(Pesos_Indicadores!$B$5:$B$17&lt;&gt;$A$12)*Pesos_Indicadores!$G$5:$G$17*(1-Q86)/(1-$B$12)),Normalizacao!$AK$5:$AK$17)/R86,""))</f>
        <v>0.851292650198034</v>
      </c>
      <c r="V86" s="17" t="str">
        <f aca="false">IF(S86="","",IF(INDEX(S86:U86,$B$5)&gt;=MAX(S86:U86),$B$4,INDEX(Pontuacao!$A$29:$A$31,MATCH(MAX(S86:U86),S86:U86,0))))</f>
        <v>Microsoft Azure</v>
      </c>
      <c r="W86" s="43" t="str">
        <f aca="false">IF(OR(V86="",V86=$B$4,ABS(Q86-$B$12)&lt;0.000000001),"",ABS(Q86-$B$12))</f>
        <v/>
      </c>
    </row>
    <row r="87" customFormat="false" ht="15" hidden="false" customHeight="true" outlineLevel="0" collapsed="false">
      <c r="A87" s="60" t="n">
        <f aca="false">(ROW()-17)*$B$6</f>
        <v>0.35</v>
      </c>
      <c r="B87" s="43" t="n">
        <f aca="false">IFERROR(SUMPRODUCT(Normalizacao!$AL$5:$AL$17,Pesos_Indicadores!$I$5:$I$17,((Pesos_Indicadores!$B$5:$B$17=$A$10)*A87+(Pesos_Indicadores!$B$5:$B$17&lt;&gt;$A$10)*Pesos_Indicadores!$G$5:$G$17*(1-A87)/(1-$B$10))),0)</f>
        <v>0.985</v>
      </c>
      <c r="C87" s="60" t="n">
        <f aca="false">IF(B87=0,"",IFERROR(SUMPRODUCT(Normalizacao!$AL$5:$AL$17,Pesos_Indicadores!$I$5:$I$17,((Pesos_Indicadores!$B$5:$B$17=$A$10)*A87+(Pesos_Indicadores!$B$5:$B$17&lt;&gt;$A$10)*Pesos_Indicadores!$G$5:$G$17*(1-A87)/(1-$B$10)),Normalizacao!$AI$5:$AI$17)/B87,""))</f>
        <v>0.713048415012371</v>
      </c>
      <c r="D87" s="60" t="n">
        <f aca="false">IF(B87=0,"",IFERROR(SUMPRODUCT(Normalizacao!$AL$5:$AL$17,Pesos_Indicadores!$I$5:$I$17,((Pesos_Indicadores!$B$5:$B$17=$A$10)*A87+(Pesos_Indicadores!$B$5:$B$17&lt;&gt;$A$10)*Pesos_Indicadores!$G$5:$G$17*(1-A87)/(1-$B$10)),Normalizacao!$AJ$5:$AJ$17)/B87,""))</f>
        <v>0.804146435665416</v>
      </c>
      <c r="E87" s="60" t="n">
        <f aca="false">IF(B87=0,"",IFERROR(SUMPRODUCT(Normalizacao!$AL$5:$AL$17,Pesos_Indicadores!$I$5:$I$17,((Pesos_Indicadores!$B$5:$B$17=$A$10)*A87+(Pesos_Indicadores!$B$5:$B$17&lt;&gt;$A$10)*Pesos_Indicadores!$G$5:$G$17*(1-A87)/(1-$B$10)),Normalizacao!$AK$5:$AK$17)/B87,""))</f>
        <v>0.843141947931615</v>
      </c>
      <c r="F87" s="17" t="str">
        <f aca="false">IF(C87="","",IF(INDEX(C87:E87,$B$5)&gt;=MAX(C87:E87),$B$4,INDEX(Pontuacao!$A$29:$A$31,MATCH(MAX(C87:E87),C87:E87,0))))</f>
        <v>Microsoft Azure</v>
      </c>
      <c r="G87" s="43" t="str">
        <f aca="false">IF(OR(F87="",F87=$B$4,ABS(A87-$B$10)&lt;0.000000001),"",ABS(A87-$B$10))</f>
        <v/>
      </c>
      <c r="I87" s="60" t="n">
        <f aca="false">(ROW()-17)*$B$6</f>
        <v>0.35</v>
      </c>
      <c r="J87" s="43" t="n">
        <f aca="false">IFERROR(SUMPRODUCT(Normalizacao!$AL$5:$AL$17,Pesos_Indicadores!$I$5:$I$17,((Pesos_Indicadores!$B$5:$B$17=$A$11)*I87+(Pesos_Indicadores!$B$5:$B$17&lt;&gt;$A$11)*Pesos_Indicadores!$G$5:$G$17*(1-I87)/(1-$B$11))),0)</f>
        <v>0.919230769230769</v>
      </c>
      <c r="K87" s="60" t="n">
        <f aca="false">IF(J87=0,"",IFERROR(SUMPRODUCT(Normalizacao!$AL$5:$AL$17,Pesos_Indicadores!$I$5:$I$17,((Pesos_Indicadores!$B$5:$B$17=$A$11)*I87+(Pesos_Indicadores!$B$5:$B$17&lt;&gt;$A$11)*Pesos_Indicadores!$G$5:$G$17*(1-I87)/(1-$B$11)),Normalizacao!$AI$5:$AI$17)/J87,""))</f>
        <v>0.770925109868541</v>
      </c>
      <c r="L87" s="60" t="n">
        <f aca="false">IF(J87=0,"",IFERROR(SUMPRODUCT(Normalizacao!$AL$5:$AL$17,Pesos_Indicadores!$I$5:$I$17,((Pesos_Indicadores!$B$5:$B$17=$A$11)*I87+(Pesos_Indicadores!$B$5:$B$17&lt;&gt;$A$11)*Pesos_Indicadores!$G$5:$G$17*(1-I87)/(1-$B$11)),Normalizacao!$AJ$5:$AJ$17)/J87,""))</f>
        <v>0.789053779334182</v>
      </c>
      <c r="M87" s="60" t="n">
        <f aca="false">IF(J87=0,"",IFERROR(SUMPRODUCT(Normalizacao!$AL$5:$AL$17,Pesos_Indicadores!$I$5:$I$17,((Pesos_Indicadores!$B$5:$B$17=$A$11)*I87+(Pesos_Indicadores!$B$5:$B$17&lt;&gt;$A$11)*Pesos_Indicadores!$G$5:$G$17*(1-I87)/(1-$B$11)),Normalizacao!$AK$5:$AK$17)/J87,""))</f>
        <v>0.829100442732558</v>
      </c>
      <c r="N87" s="17" t="str">
        <f aca="false">IF(K87="","",IF(INDEX(K87:M87,$B$5)&gt;=MAX(K87:M87),$B$4,INDEX(Pontuacao!$A$29:$A$31,MATCH(MAX(K87:M87),K87:M87,0))))</f>
        <v>Microsoft Azure</v>
      </c>
      <c r="O87" s="43" t="str">
        <f aca="false">IF(OR(N87="",N87=$B$4,ABS(I87-$B$11)&lt;0.000000001),"",ABS(I87-$B$11))</f>
        <v/>
      </c>
      <c r="Q87" s="60" t="n">
        <f aca="false">(ROW()-17)*$B$6</f>
        <v>0.35</v>
      </c>
      <c r="R87" s="43" t="n">
        <f aca="false">IFERROR(SUMPRODUCT(Normalizacao!$AL$5:$AL$17,Pesos_Indicadores!$I$5:$I$17,((Pesos_Indicadores!$B$5:$B$17=$A$12)*Q87+(Pesos_Indicadores!$B$5:$B$17&lt;&gt;$A$12)*Pesos_Indicadores!$G$5:$G$17*(1-Q87)/(1-$B$12))),0)</f>
        <v>0.925</v>
      </c>
      <c r="S87" s="60" t="n">
        <f aca="false">IF(R87=0,"",IFERROR(SUMPRODUCT(Normalizacao!$AL$5:$AL$17,Pesos_Indicadores!$I$5:$I$17,((Pesos_Indicadores!$B$5:$B$17=$A$12)*Q87+(Pesos_Indicadores!$B$5:$B$17&lt;&gt;$A$12)*Pesos_Indicadores!$G$5:$G$17*(1-Q87)/(1-$B$12)),Normalizacao!$AI$5:$AI$17)/R87,""))</f>
        <v>0.735469880635785</v>
      </c>
      <c r="T87" s="60" t="n">
        <f aca="false">IF(R87=0,"",IFERROR(SUMPRODUCT(Normalizacao!$AL$5:$AL$17,Pesos_Indicadores!$I$5:$I$17,((Pesos_Indicadores!$B$5:$B$17=$A$12)*Q87+(Pesos_Indicadores!$B$5:$B$17&lt;&gt;$A$12)*Pesos_Indicadores!$G$5:$G$17*(1-Q87)/(1-$B$12)),Normalizacao!$AJ$5:$AJ$17)/R87,""))</f>
        <v>0.825547884841363</v>
      </c>
      <c r="U87" s="60" t="n">
        <f aca="false">IF(R87=0,"",IFERROR(SUMPRODUCT(Normalizacao!$AL$5:$AL$17,Pesos_Indicadores!$I$5:$I$17,((Pesos_Indicadores!$B$5:$B$17=$A$12)*Q87+(Pesos_Indicadores!$B$5:$B$17&lt;&gt;$A$12)*Pesos_Indicadores!$G$5:$G$17*(1-Q87)/(1-$B$12)),Normalizacao!$AK$5:$AK$17)/R87,""))</f>
        <v>0.85097251279182</v>
      </c>
      <c r="V87" s="17" t="str">
        <f aca="false">IF(S87="","",IF(INDEX(S87:U87,$B$5)&gt;=MAX(S87:U87),$B$4,INDEX(Pontuacao!$A$29:$A$31,MATCH(MAX(S87:U87),S87:U87,0))))</f>
        <v>Microsoft Azure</v>
      </c>
      <c r="W87" s="43" t="str">
        <f aca="false">IF(OR(V87="",V87=$B$4,ABS(Q87-$B$12)&lt;0.000000001),"",ABS(Q87-$B$12))</f>
        <v/>
      </c>
    </row>
    <row r="88" customFormat="false" ht="15" hidden="false" customHeight="true" outlineLevel="0" collapsed="false">
      <c r="A88" s="60" t="n">
        <f aca="false">(ROW()-17)*$B$6</f>
        <v>0.355</v>
      </c>
      <c r="B88" s="43" t="n">
        <f aca="false">IFERROR(SUMPRODUCT(Normalizacao!$AL$5:$AL$17,Pesos_Indicadores!$I$5:$I$17,((Pesos_Indicadores!$B$5:$B$17=$A$10)*A88+(Pesos_Indicadores!$B$5:$B$17&lt;&gt;$A$10)*Pesos_Indicadores!$G$5:$G$17*(1-A88)/(1-$B$10))),0)</f>
        <v>0.985115384615385</v>
      </c>
      <c r="C88" s="60" t="n">
        <f aca="false">IF(B88=0,"",IFERROR(SUMPRODUCT(Normalizacao!$AL$5:$AL$17,Pesos_Indicadores!$I$5:$I$17,((Pesos_Indicadores!$B$5:$B$17=$A$10)*A88+(Pesos_Indicadores!$B$5:$B$17&lt;&gt;$A$10)*Pesos_Indicadores!$G$5:$G$17*(1-A88)/(1-$B$10)),Normalizacao!$AI$5:$AI$17)/B88,""))</f>
        <v>0.712413374626247</v>
      </c>
      <c r="D88" s="60" t="n">
        <f aca="false">IF(B88=0,"",IFERROR(SUMPRODUCT(Normalizacao!$AL$5:$AL$17,Pesos_Indicadores!$I$5:$I$17,((Pesos_Indicadores!$B$5:$B$17=$A$10)*A88+(Pesos_Indicadores!$B$5:$B$17&lt;&gt;$A$10)*Pesos_Indicadores!$G$5:$G$17*(1-A88)/(1-$B$10)),Normalizacao!$AJ$5:$AJ$17)/B88,""))</f>
        <v>0.804801973013025</v>
      </c>
      <c r="E88" s="60" t="n">
        <f aca="false">IF(B88=0,"",IFERROR(SUMPRODUCT(Normalizacao!$AL$5:$AL$17,Pesos_Indicadores!$I$5:$I$17,((Pesos_Indicadores!$B$5:$B$17=$A$10)*A88+(Pesos_Indicadores!$B$5:$B$17&lt;&gt;$A$10)*Pesos_Indicadores!$G$5:$G$17*(1-A88)/(1-$B$10)),Normalizacao!$AK$5:$AK$17)/B88,""))</f>
        <v>0.84353461992824</v>
      </c>
      <c r="F88" s="17" t="str">
        <f aca="false">IF(C88="","",IF(INDEX(C88:E88,$B$5)&gt;=MAX(C88:E88),$B$4,INDEX(Pontuacao!$A$29:$A$31,MATCH(MAX(C88:E88),C88:E88,0))))</f>
        <v>Microsoft Azure</v>
      </c>
      <c r="G88" s="43" t="str">
        <f aca="false">IF(OR(F88="",F88=$B$4,ABS(A88-$B$10)&lt;0.000000001),"",ABS(A88-$B$10))</f>
        <v/>
      </c>
      <c r="I88" s="60" t="n">
        <f aca="false">(ROW()-17)*$B$6</f>
        <v>0.355</v>
      </c>
      <c r="J88" s="43" t="n">
        <f aca="false">IFERROR(SUMPRODUCT(Normalizacao!$AL$5:$AL$17,Pesos_Indicadores!$I$5:$I$17,((Pesos_Indicadores!$B$5:$B$17=$A$11)*I88+(Pesos_Indicadores!$B$5:$B$17&lt;&gt;$A$11)*Pesos_Indicadores!$G$5:$G$17*(1-I88)/(1-$B$11))),0)</f>
        <v>0.918076923076923</v>
      </c>
      <c r="K88" s="60" t="n">
        <f aca="false">IF(J88=0,"",IFERROR(SUMPRODUCT(Normalizacao!$AL$5:$AL$17,Pesos_Indicadores!$I$5:$I$17,((Pesos_Indicadores!$B$5:$B$17=$A$11)*I88+(Pesos_Indicadores!$B$5:$B$17&lt;&gt;$A$11)*Pesos_Indicadores!$G$5:$G$17*(1-I88)/(1-$B$11)),Normalizacao!$AI$5:$AI$17)/J88,""))</f>
        <v>0.771434760799103</v>
      </c>
      <c r="L88" s="60" t="n">
        <f aca="false">IF(J88=0,"",IFERROR(SUMPRODUCT(Normalizacao!$AL$5:$AL$17,Pesos_Indicadores!$I$5:$I$17,((Pesos_Indicadores!$B$5:$B$17=$A$11)*I88+(Pesos_Indicadores!$B$5:$B$17&lt;&gt;$A$11)*Pesos_Indicadores!$G$5:$G$17*(1-I88)/(1-$B$11)),Normalizacao!$AJ$5:$AJ$17)/J88,""))</f>
        <v>0.789446587949218</v>
      </c>
      <c r="M88" s="60" t="n">
        <f aca="false">IF(J88=0,"",IFERROR(SUMPRODUCT(Normalizacao!$AL$5:$AL$17,Pesos_Indicadores!$I$5:$I$17,((Pesos_Indicadores!$B$5:$B$17=$A$11)*I88+(Pesos_Indicadores!$B$5:$B$17&lt;&gt;$A$11)*Pesos_Indicadores!$G$5:$G$17*(1-I88)/(1-$B$11)),Normalizacao!$AK$5:$AK$17)/J88,""))</f>
        <v>0.82923282339231</v>
      </c>
      <c r="N88" s="17" t="str">
        <f aca="false">IF(K88="","",IF(INDEX(K88:M88,$B$5)&gt;=MAX(K88:M88),$B$4,INDEX(Pontuacao!$A$29:$A$31,MATCH(MAX(K88:M88),K88:M88,0))))</f>
        <v>Microsoft Azure</v>
      </c>
      <c r="O88" s="43" t="str">
        <f aca="false">IF(OR(N88="",N88=$B$4,ABS(I88-$B$11)&lt;0.000000001),"",ABS(I88-$B$11))</f>
        <v/>
      </c>
      <c r="Q88" s="60" t="n">
        <f aca="false">(ROW()-17)*$B$6</f>
        <v>0.355</v>
      </c>
      <c r="R88" s="43" t="n">
        <f aca="false">IFERROR(SUMPRODUCT(Normalizacao!$AL$5:$AL$17,Pesos_Indicadores!$I$5:$I$17,((Pesos_Indicadores!$B$5:$B$17=$A$12)*Q88+(Pesos_Indicadores!$B$5:$B$17&lt;&gt;$A$12)*Pesos_Indicadores!$G$5:$G$17*(1-Q88)/(1-$B$12))),0)</f>
        <v>0.925576923076923</v>
      </c>
      <c r="S88" s="60" t="n">
        <f aca="false">IF(R88=0,"",IFERROR(SUMPRODUCT(Normalizacao!$AL$5:$AL$17,Pesos_Indicadores!$I$5:$I$17,((Pesos_Indicadores!$B$5:$B$17=$A$12)*Q88+(Pesos_Indicadores!$B$5:$B$17&lt;&gt;$A$12)*Pesos_Indicadores!$G$5:$G$17*(1-Q88)/(1-$B$12)),Normalizacao!$AI$5:$AI$17)/R88,""))</f>
        <v>0.735590637912861</v>
      </c>
      <c r="T88" s="60" t="n">
        <f aca="false">IF(R88=0,"",IFERROR(SUMPRODUCT(Normalizacao!$AL$5:$AL$17,Pesos_Indicadores!$I$5:$I$17,((Pesos_Indicadores!$B$5:$B$17=$A$12)*Q88+(Pesos_Indicadores!$B$5:$B$17&lt;&gt;$A$12)*Pesos_Indicadores!$G$5:$G$17*(1-Q88)/(1-$B$12)),Normalizacao!$AJ$5:$AJ$17)/R88,""))</f>
        <v>0.824920019602707</v>
      </c>
      <c r="U88" s="60" t="n">
        <f aca="false">IF(R88=0,"",IFERROR(SUMPRODUCT(Normalizacao!$AL$5:$AL$17,Pesos_Indicadores!$I$5:$I$17,((Pesos_Indicadores!$B$5:$B$17=$A$12)*Q88+(Pesos_Indicadores!$B$5:$B$17&lt;&gt;$A$12)*Pesos_Indicadores!$G$5:$G$17*(1-Q88)/(1-$B$12)),Normalizacao!$AK$5:$AK$17)/R88,""))</f>
        <v>0.850652774476492</v>
      </c>
      <c r="V88" s="17" t="str">
        <f aca="false">IF(S88="","",IF(INDEX(S88:U88,$B$5)&gt;=MAX(S88:U88),$B$4,INDEX(Pontuacao!$A$29:$A$31,MATCH(MAX(S88:U88),S88:U88,0))))</f>
        <v>Microsoft Azure</v>
      </c>
      <c r="W88" s="43" t="str">
        <f aca="false">IF(OR(V88="",V88=$B$4,ABS(Q88-$B$12)&lt;0.000000001),"",ABS(Q88-$B$12))</f>
        <v/>
      </c>
    </row>
    <row r="89" customFormat="false" ht="15" hidden="false" customHeight="true" outlineLevel="0" collapsed="false">
      <c r="A89" s="60" t="n">
        <f aca="false">(ROW()-17)*$B$6</f>
        <v>0.36</v>
      </c>
      <c r="B89" s="43" t="n">
        <f aca="false">IFERROR(SUMPRODUCT(Normalizacao!$AL$5:$AL$17,Pesos_Indicadores!$I$5:$I$17,((Pesos_Indicadores!$B$5:$B$17=$A$10)*A89+(Pesos_Indicadores!$B$5:$B$17&lt;&gt;$A$10)*Pesos_Indicadores!$G$5:$G$17*(1-A89)/(1-$B$10))),0)</f>
        <v>0.985230769230769</v>
      </c>
      <c r="C89" s="60" t="n">
        <f aca="false">IF(B89=0,"",IFERROR(SUMPRODUCT(Normalizacao!$AL$5:$AL$17,Pesos_Indicadores!$I$5:$I$17,((Pesos_Indicadores!$B$5:$B$17=$A$10)*A89+(Pesos_Indicadores!$B$5:$B$17&lt;&gt;$A$10)*Pesos_Indicadores!$G$5:$G$17*(1-A89)/(1-$B$10)),Normalizacao!$AI$5:$AI$17)/B89,""))</f>
        <v>0.711778482984748</v>
      </c>
      <c r="D89" s="60" t="n">
        <f aca="false">IF(B89=0,"",IFERROR(SUMPRODUCT(Normalizacao!$AL$5:$AL$17,Pesos_Indicadores!$I$5:$I$17,((Pesos_Indicadores!$B$5:$B$17=$A$10)*A89+(Pesos_Indicadores!$B$5:$B$17&lt;&gt;$A$10)*Pesos_Indicadores!$G$5:$G$17*(1-A89)/(1-$B$10)),Normalizacao!$AJ$5:$AJ$17)/B89,""))</f>
        <v>0.805457356815034</v>
      </c>
      <c r="E89" s="60" t="n">
        <f aca="false">IF(B89=0,"",IFERROR(SUMPRODUCT(Normalizacao!$AL$5:$AL$17,Pesos_Indicadores!$I$5:$I$17,((Pesos_Indicadores!$B$5:$B$17=$A$10)*A89+(Pesos_Indicadores!$B$5:$B$17&lt;&gt;$A$10)*Pesos_Indicadores!$G$5:$G$17*(1-A89)/(1-$B$10)),Normalizacao!$AK$5:$AK$17)/B89,""))</f>
        <v>0.843927199949851</v>
      </c>
      <c r="F89" s="17" t="str">
        <f aca="false">IF(C89="","",IF(INDEX(C89:E89,$B$5)&gt;=MAX(C89:E89),$B$4,INDEX(Pontuacao!$A$29:$A$31,MATCH(MAX(C89:E89),C89:E89,0))))</f>
        <v>Microsoft Azure</v>
      </c>
      <c r="G89" s="43" t="str">
        <f aca="false">IF(OR(F89="",F89=$B$4,ABS(A89-$B$10)&lt;0.000000001),"",ABS(A89-$B$10))</f>
        <v/>
      </c>
      <c r="I89" s="60" t="n">
        <f aca="false">(ROW()-17)*$B$6</f>
        <v>0.36</v>
      </c>
      <c r="J89" s="43" t="n">
        <f aca="false">IFERROR(SUMPRODUCT(Normalizacao!$AL$5:$AL$17,Pesos_Indicadores!$I$5:$I$17,((Pesos_Indicadores!$B$5:$B$17=$A$11)*I89+(Pesos_Indicadores!$B$5:$B$17&lt;&gt;$A$11)*Pesos_Indicadores!$G$5:$G$17*(1-I89)/(1-$B$11))),0)</f>
        <v>0.916923076923077</v>
      </c>
      <c r="K89" s="60" t="n">
        <f aca="false">IF(J89=0,"",IFERROR(SUMPRODUCT(Normalizacao!$AL$5:$AL$17,Pesos_Indicadores!$I$5:$I$17,((Pesos_Indicadores!$B$5:$B$17=$A$11)*I89+(Pesos_Indicadores!$B$5:$B$17&lt;&gt;$A$11)*Pesos_Indicadores!$G$5:$G$17*(1-I89)/(1-$B$11)),Normalizacao!$AI$5:$AI$17)/J89,""))</f>
        <v>0.771945694408183</v>
      </c>
      <c r="L89" s="60" t="n">
        <f aca="false">IF(J89=0,"",IFERROR(SUMPRODUCT(Normalizacao!$AL$5:$AL$17,Pesos_Indicadores!$I$5:$I$17,((Pesos_Indicadores!$B$5:$B$17=$A$11)*I89+(Pesos_Indicadores!$B$5:$B$17&lt;&gt;$A$11)*Pesos_Indicadores!$G$5:$G$17*(1-I89)/(1-$B$11)),Normalizacao!$AJ$5:$AJ$17)/J89,""))</f>
        <v>0.789840385176539</v>
      </c>
      <c r="M89" s="60" t="n">
        <f aca="false">IF(J89=0,"",IFERROR(SUMPRODUCT(Normalizacao!$AL$5:$AL$17,Pesos_Indicadores!$I$5:$I$17,((Pesos_Indicadores!$B$5:$B$17=$A$11)*I89+(Pesos_Indicadores!$B$5:$B$17&lt;&gt;$A$11)*Pesos_Indicadores!$G$5:$G$17*(1-I89)/(1-$B$11)),Normalizacao!$AK$5:$AK$17)/J89,""))</f>
        <v>0.829365537224864</v>
      </c>
      <c r="N89" s="17" t="str">
        <f aca="false">IF(K89="","",IF(INDEX(K89:M89,$B$5)&gt;=MAX(K89:M89),$B$4,INDEX(Pontuacao!$A$29:$A$31,MATCH(MAX(K89:M89),K89:M89,0))))</f>
        <v>Microsoft Azure</v>
      </c>
      <c r="O89" s="43" t="str">
        <f aca="false">IF(OR(N89="",N89=$B$4,ABS(I89-$B$11)&lt;0.000000001),"",ABS(I89-$B$11))</f>
        <v/>
      </c>
      <c r="Q89" s="60" t="n">
        <f aca="false">(ROW()-17)*$B$6</f>
        <v>0.36</v>
      </c>
      <c r="R89" s="43" t="n">
        <f aca="false">IFERROR(SUMPRODUCT(Normalizacao!$AL$5:$AL$17,Pesos_Indicadores!$I$5:$I$17,((Pesos_Indicadores!$B$5:$B$17=$A$12)*Q89+(Pesos_Indicadores!$B$5:$B$17&lt;&gt;$A$12)*Pesos_Indicadores!$G$5:$G$17*(1-Q89)/(1-$B$12))),0)</f>
        <v>0.926153846153846</v>
      </c>
      <c r="S89" s="60" t="n">
        <f aca="false">IF(R89=0,"",IFERROR(SUMPRODUCT(Normalizacao!$AL$5:$AL$17,Pesos_Indicadores!$I$5:$I$17,((Pesos_Indicadores!$B$5:$B$17=$A$12)*Q89+(Pesos_Indicadores!$B$5:$B$17&lt;&gt;$A$12)*Pesos_Indicadores!$G$5:$G$17*(1-Q89)/(1-$B$12)),Normalizacao!$AI$5:$AI$17)/R89,""))</f>
        <v>0.735711244744825</v>
      </c>
      <c r="T89" s="60" t="n">
        <f aca="false">IF(R89=0,"",IFERROR(SUMPRODUCT(Normalizacao!$AL$5:$AL$17,Pesos_Indicadores!$I$5:$I$17,((Pesos_Indicadores!$B$5:$B$17=$A$12)*Q89+(Pesos_Indicadores!$B$5:$B$17&lt;&gt;$A$12)*Pesos_Indicadores!$G$5:$G$17*(1-Q89)/(1-$B$12)),Normalizacao!$AJ$5:$AJ$17)/R89,""))</f>
        <v>0.824292936588184</v>
      </c>
      <c r="U89" s="60" t="n">
        <f aca="false">IF(R89=0,"",IFERROR(SUMPRODUCT(Normalizacao!$AL$5:$AL$17,Pesos_Indicadores!$I$5:$I$17,((Pesos_Indicadores!$B$5:$B$17=$A$12)*Q89+(Pesos_Indicadores!$B$5:$B$17&lt;&gt;$A$12)*Pesos_Indicadores!$G$5:$G$17*(1-Q89)/(1-$B$12)),Normalizacao!$AK$5:$AK$17)/R89,""))</f>
        <v>0.850333434506241</v>
      </c>
      <c r="V89" s="17" t="str">
        <f aca="false">IF(S89="","",IF(INDEX(S89:U89,$B$5)&gt;=MAX(S89:U89),$B$4,INDEX(Pontuacao!$A$29:$A$31,MATCH(MAX(S89:U89),S89:U89,0))))</f>
        <v>Microsoft Azure</v>
      </c>
      <c r="W89" s="43" t="str">
        <f aca="false">IF(OR(V89="",V89=$B$4,ABS(Q89-$B$12)&lt;0.000000001),"",ABS(Q89-$B$12))</f>
        <v/>
      </c>
    </row>
    <row r="90" customFormat="false" ht="15" hidden="false" customHeight="true" outlineLevel="0" collapsed="false">
      <c r="A90" s="60" t="n">
        <f aca="false">(ROW()-17)*$B$6</f>
        <v>0.365</v>
      </c>
      <c r="B90" s="43" t="n">
        <f aca="false">IFERROR(SUMPRODUCT(Normalizacao!$AL$5:$AL$17,Pesos_Indicadores!$I$5:$I$17,((Pesos_Indicadores!$B$5:$B$17=$A$10)*A90+(Pesos_Indicadores!$B$5:$B$17&lt;&gt;$A$10)*Pesos_Indicadores!$G$5:$G$17*(1-A90)/(1-$B$10))),0)</f>
        <v>0.985346153846154</v>
      </c>
      <c r="C90" s="60" t="n">
        <f aca="false">IF(B90=0,"",IFERROR(SUMPRODUCT(Normalizacao!$AL$5:$AL$17,Pesos_Indicadores!$I$5:$I$17,((Pesos_Indicadores!$B$5:$B$17=$A$10)*A90+(Pesos_Indicadores!$B$5:$B$17&lt;&gt;$A$10)*Pesos_Indicadores!$G$5:$G$17*(1-A90)/(1-$B$10)),Normalizacao!$AI$5:$AI$17)/B90,""))</f>
        <v>0.71114374003562</v>
      </c>
      <c r="D90" s="60" t="n">
        <f aca="false">IF(B90=0,"",IFERROR(SUMPRODUCT(Normalizacao!$AL$5:$AL$17,Pesos_Indicadores!$I$5:$I$17,((Pesos_Indicadores!$B$5:$B$17=$A$10)*A90+(Pesos_Indicadores!$B$5:$B$17&lt;&gt;$A$10)*Pesos_Indicadores!$G$5:$G$17*(1-A90)/(1-$B$10)),Normalizacao!$AJ$5:$AJ$17)/B90,""))</f>
        <v>0.806112587125384</v>
      </c>
      <c r="E90" s="60" t="n">
        <f aca="false">IF(B90=0,"",IFERROR(SUMPRODUCT(Normalizacao!$AL$5:$AL$17,Pesos_Indicadores!$I$5:$I$17,((Pesos_Indicadores!$B$5:$B$17=$A$10)*A90+(Pesos_Indicadores!$B$5:$B$17&lt;&gt;$A$10)*Pesos_Indicadores!$G$5:$G$17*(1-A90)/(1-$B$10)),Normalizacao!$AK$5:$AK$17)/B90,""))</f>
        <v>0.844319688028759</v>
      </c>
      <c r="F90" s="17" t="str">
        <f aca="false">IF(C90="","",IF(INDEX(C90:E90,$B$5)&gt;=MAX(C90:E90),$B$4,INDEX(Pontuacao!$A$29:$A$31,MATCH(MAX(C90:E90),C90:E90,0))))</f>
        <v>Microsoft Azure</v>
      </c>
      <c r="G90" s="43" t="str">
        <f aca="false">IF(OR(F90="",F90=$B$4,ABS(A90-$B$10)&lt;0.000000001),"",ABS(A90-$B$10))</f>
        <v/>
      </c>
      <c r="I90" s="60" t="n">
        <f aca="false">(ROW()-17)*$B$6</f>
        <v>0.365</v>
      </c>
      <c r="J90" s="43" t="n">
        <f aca="false">IFERROR(SUMPRODUCT(Normalizacao!$AL$5:$AL$17,Pesos_Indicadores!$I$5:$I$17,((Pesos_Indicadores!$B$5:$B$17=$A$11)*I90+(Pesos_Indicadores!$B$5:$B$17&lt;&gt;$A$11)*Pesos_Indicadores!$G$5:$G$17*(1-I90)/(1-$B$11))),0)</f>
        <v>0.915769230769231</v>
      </c>
      <c r="K90" s="60" t="n">
        <f aca="false">IF(J90=0,"",IFERROR(SUMPRODUCT(Normalizacao!$AL$5:$AL$17,Pesos_Indicadores!$I$5:$I$17,((Pesos_Indicadores!$B$5:$B$17=$A$11)*I90+(Pesos_Indicadores!$B$5:$B$17&lt;&gt;$A$11)*Pesos_Indicadores!$G$5:$G$17*(1-I90)/(1-$B$11)),Normalizacao!$AI$5:$AI$17)/J90,""))</f>
        <v>0.772457915544206</v>
      </c>
      <c r="L90" s="60" t="n">
        <f aca="false">IF(J90=0,"",IFERROR(SUMPRODUCT(Normalizacao!$AL$5:$AL$17,Pesos_Indicadores!$I$5:$I$17,((Pesos_Indicadores!$B$5:$B$17=$A$11)*I90+(Pesos_Indicadores!$B$5:$B$17&lt;&gt;$A$11)*Pesos_Indicadores!$G$5:$G$17*(1-I90)/(1-$B$11)),Normalizacao!$AJ$5:$AJ$17)/J90,""))</f>
        <v>0.790235174753027</v>
      </c>
      <c r="M90" s="60" t="n">
        <f aca="false">IF(J90=0,"",IFERROR(SUMPRODUCT(Normalizacao!$AL$5:$AL$17,Pesos_Indicadores!$I$5:$I$17,((Pesos_Indicadores!$B$5:$B$17=$A$11)*I90+(Pesos_Indicadores!$B$5:$B$17&lt;&gt;$A$11)*Pesos_Indicadores!$G$5:$G$17*(1-I90)/(1-$B$11)),Normalizacao!$AK$5:$AK$17)/J90,""))</f>
        <v>0.829498585489586</v>
      </c>
      <c r="N90" s="17" t="str">
        <f aca="false">IF(K90="","",IF(INDEX(K90:M90,$B$5)&gt;=MAX(K90:M90),$B$4,INDEX(Pontuacao!$A$29:$A$31,MATCH(MAX(K90:M90),K90:M90,0))))</f>
        <v>Microsoft Azure</v>
      </c>
      <c r="O90" s="43" t="str">
        <f aca="false">IF(OR(N90="",N90=$B$4,ABS(I90-$B$11)&lt;0.000000001),"",ABS(I90-$B$11))</f>
        <v/>
      </c>
      <c r="Q90" s="60" t="n">
        <f aca="false">(ROW()-17)*$B$6</f>
        <v>0.365</v>
      </c>
      <c r="R90" s="43" t="n">
        <f aca="false">IFERROR(SUMPRODUCT(Normalizacao!$AL$5:$AL$17,Pesos_Indicadores!$I$5:$I$17,((Pesos_Indicadores!$B$5:$B$17=$A$12)*Q90+(Pesos_Indicadores!$B$5:$B$17&lt;&gt;$A$12)*Pesos_Indicadores!$G$5:$G$17*(1-Q90)/(1-$B$12))),0)</f>
        <v>0.926730769230769</v>
      </c>
      <c r="S90" s="60" t="n">
        <f aca="false">IF(R90=0,"",IFERROR(SUMPRODUCT(Normalizacao!$AL$5:$AL$17,Pesos_Indicadores!$I$5:$I$17,((Pesos_Indicadores!$B$5:$B$17=$A$12)*Q90+(Pesos_Indicadores!$B$5:$B$17&lt;&gt;$A$12)*Pesos_Indicadores!$G$5:$G$17*(1-Q90)/(1-$B$12)),Normalizacao!$AI$5:$AI$17)/R90,""))</f>
        <v>0.735831701412648</v>
      </c>
      <c r="T90" s="60" t="n">
        <f aca="false">IF(R90=0,"",IFERROR(SUMPRODUCT(Normalizacao!$AL$5:$AL$17,Pesos_Indicadores!$I$5:$I$17,((Pesos_Indicadores!$B$5:$B$17=$A$12)*Q90+(Pesos_Indicadores!$B$5:$B$17&lt;&gt;$A$12)*Pesos_Indicadores!$G$5:$G$17*(1-Q90)/(1-$B$12)),Normalizacao!$AJ$5:$AJ$17)/R90,""))</f>
        <v>0.823666634336909</v>
      </c>
      <c r="U90" s="60" t="n">
        <f aca="false">IF(R90=0,"",IFERROR(SUMPRODUCT(Normalizacao!$AL$5:$AL$17,Pesos_Indicadores!$I$5:$I$17,((Pesos_Indicadores!$B$5:$B$17=$A$12)*Q90+(Pesos_Indicadores!$B$5:$B$17&lt;&gt;$A$12)*Pesos_Indicadores!$G$5:$G$17*(1-Q90)/(1-$B$12)),Normalizacao!$AK$5:$AK$17)/R90,""))</f>
        <v>0.850014492137116</v>
      </c>
      <c r="V90" s="17" t="str">
        <f aca="false">IF(S90="","",IF(INDEX(S90:U90,$B$5)&gt;=MAX(S90:U90),$B$4,INDEX(Pontuacao!$A$29:$A$31,MATCH(MAX(S90:U90),S90:U90,0))))</f>
        <v>Microsoft Azure</v>
      </c>
      <c r="W90" s="43" t="str">
        <f aca="false">IF(OR(V90="",V90=$B$4,ABS(Q90-$B$12)&lt;0.000000001),"",ABS(Q90-$B$12))</f>
        <v/>
      </c>
    </row>
    <row r="91" customFormat="false" ht="15" hidden="false" customHeight="true" outlineLevel="0" collapsed="false">
      <c r="A91" s="60" t="n">
        <f aca="false">(ROW()-17)*$B$6</f>
        <v>0.37</v>
      </c>
      <c r="B91" s="43" t="n">
        <f aca="false">IFERROR(SUMPRODUCT(Normalizacao!$AL$5:$AL$17,Pesos_Indicadores!$I$5:$I$17,((Pesos_Indicadores!$B$5:$B$17=$A$10)*A91+(Pesos_Indicadores!$B$5:$B$17&lt;&gt;$A$10)*Pesos_Indicadores!$G$5:$G$17*(1-A91)/(1-$B$10))),0)</f>
        <v>0.985461538461539</v>
      </c>
      <c r="C91" s="60" t="n">
        <f aca="false">IF(B91=0,"",IFERROR(SUMPRODUCT(Normalizacao!$AL$5:$AL$17,Pesos_Indicadores!$I$5:$I$17,((Pesos_Indicadores!$B$5:$B$17=$A$10)*A91+(Pesos_Indicadores!$B$5:$B$17&lt;&gt;$A$10)*Pesos_Indicadores!$G$5:$G$17*(1-A91)/(1-$B$10)),Normalizacao!$AI$5:$AI$17)/B91,""))</f>
        <v>0.710509145726633</v>
      </c>
      <c r="D91" s="60" t="n">
        <f aca="false">IF(B91=0,"",IFERROR(SUMPRODUCT(Normalizacao!$AL$5:$AL$17,Pesos_Indicadores!$I$5:$I$17,((Pesos_Indicadores!$B$5:$B$17=$A$10)*A91+(Pesos_Indicadores!$B$5:$B$17&lt;&gt;$A$10)*Pesos_Indicadores!$G$5:$G$17*(1-A91)/(1-$B$10)),Normalizacao!$AJ$5:$AJ$17)/B91,""))</f>
        <v>0.806767663997991</v>
      </c>
      <c r="E91" s="60" t="n">
        <f aca="false">IF(B91=0,"",IFERROR(SUMPRODUCT(Normalizacao!$AL$5:$AL$17,Pesos_Indicadores!$I$5:$I$17,((Pesos_Indicadores!$B$5:$B$17=$A$10)*A91+(Pesos_Indicadores!$B$5:$B$17&lt;&gt;$A$10)*Pesos_Indicadores!$G$5:$G$17*(1-A91)/(1-$B$10)),Normalizacao!$AK$5:$AK$17)/B91,""))</f>
        <v>0.844712084197258</v>
      </c>
      <c r="F91" s="17" t="str">
        <f aca="false">IF(C91="","",IF(INDEX(C91:E91,$B$5)&gt;=MAX(C91:E91),$B$4,INDEX(Pontuacao!$A$29:$A$31,MATCH(MAX(C91:E91),C91:E91,0))))</f>
        <v>Microsoft Azure</v>
      </c>
      <c r="G91" s="43" t="str">
        <f aca="false">IF(OR(F91="",F91=$B$4,ABS(A91-$B$10)&lt;0.000000001),"",ABS(A91-$B$10))</f>
        <v/>
      </c>
      <c r="I91" s="60" t="n">
        <f aca="false">(ROW()-17)*$B$6</f>
        <v>0.37</v>
      </c>
      <c r="J91" s="43" t="n">
        <f aca="false">IFERROR(SUMPRODUCT(Normalizacao!$AL$5:$AL$17,Pesos_Indicadores!$I$5:$I$17,((Pesos_Indicadores!$B$5:$B$17=$A$11)*I91+(Pesos_Indicadores!$B$5:$B$17&lt;&gt;$A$11)*Pesos_Indicadores!$G$5:$G$17*(1-I91)/(1-$B$11))),0)</f>
        <v>0.914615384615385</v>
      </c>
      <c r="K91" s="60" t="n">
        <f aca="false">IF(J91=0,"",IFERROR(SUMPRODUCT(Normalizacao!$AL$5:$AL$17,Pesos_Indicadores!$I$5:$I$17,((Pesos_Indicadores!$B$5:$B$17=$A$11)*I91+(Pesos_Indicadores!$B$5:$B$17&lt;&gt;$A$11)*Pesos_Indicadores!$G$5:$G$17*(1-I91)/(1-$B$11)),Normalizacao!$AI$5:$AI$17)/J91,""))</f>
        <v>0.772971429080068</v>
      </c>
      <c r="L91" s="60" t="n">
        <f aca="false">IF(J91=0,"",IFERROR(SUMPRODUCT(Normalizacao!$AL$5:$AL$17,Pesos_Indicadores!$I$5:$I$17,((Pesos_Indicadores!$B$5:$B$17=$A$11)*I91+(Pesos_Indicadores!$B$5:$B$17&lt;&gt;$A$11)*Pesos_Indicadores!$G$5:$G$17*(1-I91)/(1-$B$11)),Normalizacao!$AJ$5:$AJ$17)/J91,""))</f>
        <v>0.790630960434417</v>
      </c>
      <c r="M91" s="60" t="n">
        <f aca="false">IF(J91=0,"",IFERROR(SUMPRODUCT(Normalizacao!$AL$5:$AL$17,Pesos_Indicadores!$I$5:$I$17,((Pesos_Indicadores!$B$5:$B$17=$A$11)*I91+(Pesos_Indicadores!$B$5:$B$17&lt;&gt;$A$11)*Pesos_Indicadores!$G$5:$G$17*(1-I91)/(1-$B$11)),Normalizacao!$AK$5:$AK$17)/J91,""))</f>
        <v>0.829631969452202</v>
      </c>
      <c r="N91" s="17" t="str">
        <f aca="false">IF(K91="","",IF(INDEX(K91:M91,$B$5)&gt;=MAX(K91:M91),$B$4,INDEX(Pontuacao!$A$29:$A$31,MATCH(MAX(K91:M91),K91:M91,0))))</f>
        <v>Microsoft Azure</v>
      </c>
      <c r="O91" s="43" t="str">
        <f aca="false">IF(OR(N91="",N91=$B$4,ABS(I91-$B$11)&lt;0.000000001),"",ABS(I91-$B$11))</f>
        <v/>
      </c>
      <c r="Q91" s="60" t="n">
        <f aca="false">(ROW()-17)*$B$6</f>
        <v>0.37</v>
      </c>
      <c r="R91" s="43" t="n">
        <f aca="false">IFERROR(SUMPRODUCT(Normalizacao!$AL$5:$AL$17,Pesos_Indicadores!$I$5:$I$17,((Pesos_Indicadores!$B$5:$B$17=$A$12)*Q91+(Pesos_Indicadores!$B$5:$B$17&lt;&gt;$A$12)*Pesos_Indicadores!$G$5:$G$17*(1-Q91)/(1-$B$12))),0)</f>
        <v>0.927307692307692</v>
      </c>
      <c r="S91" s="60" t="n">
        <f aca="false">IF(R91=0,"",IFERROR(SUMPRODUCT(Normalizacao!$AL$5:$AL$17,Pesos_Indicadores!$I$5:$I$17,((Pesos_Indicadores!$B$5:$B$17=$A$12)*Q91+(Pesos_Indicadores!$B$5:$B$17&lt;&gt;$A$12)*Pesos_Indicadores!$G$5:$G$17*(1-Q91)/(1-$B$12)),Normalizacao!$AI$5:$AI$17)/R91,""))</f>
        <v>0.735952008196605</v>
      </c>
      <c r="T91" s="60" t="n">
        <f aca="false">IF(R91=0,"",IFERROR(SUMPRODUCT(Normalizacao!$AL$5:$AL$17,Pesos_Indicadores!$I$5:$I$17,((Pesos_Indicadores!$B$5:$B$17=$A$12)*Q91+(Pesos_Indicadores!$B$5:$B$17&lt;&gt;$A$12)*Pesos_Indicadores!$G$5:$G$17*(1-Q91)/(1-$B$12)),Normalizacao!$AJ$5:$AJ$17)/R91,""))</f>
        <v>0.823041111391629</v>
      </c>
      <c r="U91" s="60" t="n">
        <f aca="false">IF(R91=0,"",IFERROR(SUMPRODUCT(Normalizacao!$AL$5:$AL$17,Pesos_Indicadores!$I$5:$I$17,((Pesos_Indicadores!$B$5:$B$17=$A$12)*Q91+(Pesos_Indicadores!$B$5:$B$17&lt;&gt;$A$12)*Pesos_Indicadores!$G$5:$G$17*(1-Q91)/(1-$B$12)),Normalizacao!$AK$5:$AK$17)/R91,""))</f>
        <v>0.849695946627014</v>
      </c>
      <c r="V91" s="17" t="str">
        <f aca="false">IF(S91="","",IF(INDEX(S91:U91,$B$5)&gt;=MAX(S91:U91),$B$4,INDEX(Pontuacao!$A$29:$A$31,MATCH(MAX(S91:U91),S91:U91,0))))</f>
        <v>Microsoft Azure</v>
      </c>
      <c r="W91" s="43" t="str">
        <f aca="false">IF(OR(V91="",V91=$B$4,ABS(Q91-$B$12)&lt;0.000000001),"",ABS(Q91-$B$12))</f>
        <v/>
      </c>
    </row>
    <row r="92" customFormat="false" ht="15" hidden="false" customHeight="true" outlineLevel="0" collapsed="false">
      <c r="A92" s="60" t="n">
        <f aca="false">(ROW()-17)*$B$6</f>
        <v>0.375</v>
      </c>
      <c r="B92" s="43" t="n">
        <f aca="false">IFERROR(SUMPRODUCT(Normalizacao!$AL$5:$AL$17,Pesos_Indicadores!$I$5:$I$17,((Pesos_Indicadores!$B$5:$B$17=$A$10)*A92+(Pesos_Indicadores!$B$5:$B$17&lt;&gt;$A$10)*Pesos_Indicadores!$G$5:$G$17*(1-A92)/(1-$B$10))),0)</f>
        <v>0.985576923076923</v>
      </c>
      <c r="C92" s="60" t="n">
        <f aca="false">IF(B92=0,"",IFERROR(SUMPRODUCT(Normalizacao!$AL$5:$AL$17,Pesos_Indicadores!$I$5:$I$17,((Pesos_Indicadores!$B$5:$B$17=$A$10)*A92+(Pesos_Indicadores!$B$5:$B$17&lt;&gt;$A$10)*Pesos_Indicadores!$G$5:$G$17*(1-A92)/(1-$B$10)),Normalizacao!$AI$5:$AI$17)/B92,""))</f>
        <v>0.709874700005581</v>
      </c>
      <c r="D92" s="60" t="n">
        <f aca="false">IF(B92=0,"",IFERROR(SUMPRODUCT(Normalizacao!$AL$5:$AL$17,Pesos_Indicadores!$I$5:$I$17,((Pesos_Indicadores!$B$5:$B$17=$A$10)*A92+(Pesos_Indicadores!$B$5:$B$17&lt;&gt;$A$10)*Pesos_Indicadores!$G$5:$G$17*(1-A92)/(1-$B$10)),Normalizacao!$AJ$5:$AJ$17)/B92,""))</f>
        <v>0.807422587486744</v>
      </c>
      <c r="E92" s="60" t="n">
        <f aca="false">IF(B92=0,"",IFERROR(SUMPRODUCT(Normalizacao!$AL$5:$AL$17,Pesos_Indicadores!$I$5:$I$17,((Pesos_Indicadores!$B$5:$B$17=$A$10)*A92+(Pesos_Indicadores!$B$5:$B$17&lt;&gt;$A$10)*Pesos_Indicadores!$G$5:$G$17*(1-A92)/(1-$B$10)),Normalizacao!$AK$5:$AK$17)/B92,""))</f>
        <v>0.845104388487629</v>
      </c>
      <c r="F92" s="17" t="str">
        <f aca="false">IF(C92="","",IF(INDEX(C92:E92,$B$5)&gt;=MAX(C92:E92),$B$4,INDEX(Pontuacao!$A$29:$A$31,MATCH(MAX(C92:E92),C92:E92,0))))</f>
        <v>Microsoft Azure</v>
      </c>
      <c r="G92" s="43" t="str">
        <f aca="false">IF(OR(F92="",F92=$B$4,ABS(A92-$B$10)&lt;0.000000001),"",ABS(A92-$B$10))</f>
        <v/>
      </c>
      <c r="I92" s="60" t="n">
        <f aca="false">(ROW()-17)*$B$6</f>
        <v>0.375</v>
      </c>
      <c r="J92" s="43" t="n">
        <f aca="false">IFERROR(SUMPRODUCT(Normalizacao!$AL$5:$AL$17,Pesos_Indicadores!$I$5:$I$17,((Pesos_Indicadores!$B$5:$B$17=$A$11)*I92+(Pesos_Indicadores!$B$5:$B$17&lt;&gt;$A$11)*Pesos_Indicadores!$G$5:$G$17*(1-I92)/(1-$B$11))),0)</f>
        <v>0.913461538461538</v>
      </c>
      <c r="K92" s="60" t="n">
        <f aca="false">IF(J92=0,"",IFERROR(SUMPRODUCT(Normalizacao!$AL$5:$AL$17,Pesos_Indicadores!$I$5:$I$17,((Pesos_Indicadores!$B$5:$B$17=$A$11)*I92+(Pesos_Indicadores!$B$5:$B$17&lt;&gt;$A$11)*Pesos_Indicadores!$G$5:$G$17*(1-I92)/(1-$B$11)),Normalizacao!$AI$5:$AI$17)/J92,""))</f>
        <v>0.773486239913284</v>
      </c>
      <c r="L92" s="60" t="n">
        <f aca="false">IF(J92=0,"",IFERROR(SUMPRODUCT(Normalizacao!$AL$5:$AL$17,Pesos_Indicadores!$I$5:$I$17,((Pesos_Indicadores!$B$5:$B$17=$A$11)*I92+(Pesos_Indicadores!$B$5:$B$17&lt;&gt;$A$11)*Pesos_Indicadores!$G$5:$G$17*(1-I92)/(1-$B$11)),Normalizacao!$AJ$5:$AJ$17)/J92,""))</f>
        <v>0.791027745995424</v>
      </c>
      <c r="M92" s="60" t="n">
        <f aca="false">IF(J92=0,"",IFERROR(SUMPRODUCT(Normalizacao!$AL$5:$AL$17,Pesos_Indicadores!$I$5:$I$17,((Pesos_Indicadores!$B$5:$B$17=$A$11)*I92+(Pesos_Indicadores!$B$5:$B$17&lt;&gt;$A$11)*Pesos_Indicadores!$G$5:$G$17*(1-I92)/(1-$B$11)),Normalizacao!$AK$5:$AK$17)/J92,""))</f>
        <v>0.829765690384828</v>
      </c>
      <c r="N92" s="17" t="str">
        <f aca="false">IF(K92="","",IF(INDEX(K92:M92,$B$5)&gt;=MAX(K92:M92),$B$4,INDEX(Pontuacao!$A$29:$A$31,MATCH(MAX(K92:M92),K92:M92,0))))</f>
        <v>Microsoft Azure</v>
      </c>
      <c r="O92" s="43" t="str">
        <f aca="false">IF(OR(N92="",N92=$B$4,ABS(I92-$B$11)&lt;0.000000001),"",ABS(I92-$B$11))</f>
        <v/>
      </c>
      <c r="Q92" s="60" t="n">
        <f aca="false">(ROW()-17)*$B$6</f>
        <v>0.375</v>
      </c>
      <c r="R92" s="43" t="n">
        <f aca="false">IFERROR(SUMPRODUCT(Normalizacao!$AL$5:$AL$17,Pesos_Indicadores!$I$5:$I$17,((Pesos_Indicadores!$B$5:$B$17=$A$12)*Q92+(Pesos_Indicadores!$B$5:$B$17&lt;&gt;$A$12)*Pesos_Indicadores!$G$5:$G$17*(1-Q92)/(1-$B$12))),0)</f>
        <v>0.927884615384616</v>
      </c>
      <c r="S92" s="60" t="n">
        <f aca="false">IF(R92=0,"",IFERROR(SUMPRODUCT(Normalizacao!$AL$5:$AL$17,Pesos_Indicadores!$I$5:$I$17,((Pesos_Indicadores!$B$5:$B$17=$A$12)*Q92+(Pesos_Indicadores!$B$5:$B$17&lt;&gt;$A$12)*Pesos_Indicadores!$G$5:$G$17*(1-Q92)/(1-$B$12)),Normalizacao!$AI$5:$AI$17)/R92,""))</f>
        <v>0.73607216537627</v>
      </c>
      <c r="T92" s="60" t="n">
        <f aca="false">IF(R92=0,"",IFERROR(SUMPRODUCT(Normalizacao!$AL$5:$AL$17,Pesos_Indicadores!$I$5:$I$17,((Pesos_Indicadores!$B$5:$B$17=$A$12)*Q92+(Pesos_Indicadores!$B$5:$B$17&lt;&gt;$A$12)*Pesos_Indicadores!$G$5:$G$17*(1-Q92)/(1-$B$12)),Normalizacao!$AJ$5:$AJ$17)/R92,""))</f>
        <v>0.822416366298716</v>
      </c>
      <c r="U92" s="60" t="n">
        <f aca="false">IF(R92=0,"",IFERROR(SUMPRODUCT(Normalizacao!$AL$5:$AL$17,Pesos_Indicadores!$I$5:$I$17,((Pesos_Indicadores!$B$5:$B$17=$A$12)*Q92+(Pesos_Indicadores!$B$5:$B$17&lt;&gt;$A$12)*Pesos_Indicadores!$G$5:$G$17*(1-Q92)/(1-$B$12)),Normalizacao!$AK$5:$AK$17)/R92,""))</f>
        <v>0.849377797235682</v>
      </c>
      <c r="V92" s="17" t="str">
        <f aca="false">IF(S92="","",IF(INDEX(S92:U92,$B$5)&gt;=MAX(S92:U92),$B$4,INDEX(Pontuacao!$A$29:$A$31,MATCH(MAX(S92:U92),S92:U92,0))))</f>
        <v>Microsoft Azure</v>
      </c>
      <c r="W92" s="43" t="str">
        <f aca="false">IF(OR(V92="",V92=$B$4,ABS(Q92-$B$12)&lt;0.000000001),"",ABS(Q92-$B$12))</f>
        <v/>
      </c>
    </row>
    <row r="93" customFormat="false" ht="15" hidden="false" customHeight="true" outlineLevel="0" collapsed="false">
      <c r="A93" s="60" t="n">
        <f aca="false">(ROW()-17)*$B$6</f>
        <v>0.38</v>
      </c>
      <c r="B93" s="43" t="n">
        <f aca="false">IFERROR(SUMPRODUCT(Normalizacao!$AL$5:$AL$17,Pesos_Indicadores!$I$5:$I$17,((Pesos_Indicadores!$B$5:$B$17=$A$10)*A93+(Pesos_Indicadores!$B$5:$B$17&lt;&gt;$A$10)*Pesos_Indicadores!$G$5:$G$17*(1-A93)/(1-$B$10))),0)</f>
        <v>0.985692307692308</v>
      </c>
      <c r="C93" s="60" t="n">
        <f aca="false">IF(B93=0,"",IFERROR(SUMPRODUCT(Normalizacao!$AL$5:$AL$17,Pesos_Indicadores!$I$5:$I$17,((Pesos_Indicadores!$B$5:$B$17=$A$10)*A93+(Pesos_Indicadores!$B$5:$B$17&lt;&gt;$A$10)*Pesos_Indicadores!$G$5:$G$17*(1-A93)/(1-$B$10)),Normalizacao!$AI$5:$AI$17)/B93,""))</f>
        <v>0.709240402820285</v>
      </c>
      <c r="D93" s="60" t="n">
        <f aca="false">IF(B93=0,"",IFERROR(SUMPRODUCT(Normalizacao!$AL$5:$AL$17,Pesos_Indicadores!$I$5:$I$17,((Pesos_Indicadores!$B$5:$B$17=$A$10)*A93+(Pesos_Indicadores!$B$5:$B$17&lt;&gt;$A$10)*Pesos_Indicadores!$G$5:$G$17*(1-A93)/(1-$B$10)),Normalizacao!$AJ$5:$AJ$17)/B93,""))</f>
        <v>0.80807735764551</v>
      </c>
      <c r="E93" s="60" t="n">
        <f aca="false">IF(B93=0,"",IFERROR(SUMPRODUCT(Normalizacao!$AL$5:$AL$17,Pesos_Indicadores!$I$5:$I$17,((Pesos_Indicadores!$B$5:$B$17=$A$10)*A93+(Pesos_Indicadores!$B$5:$B$17&lt;&gt;$A$10)*Pesos_Indicadores!$G$5:$G$17*(1-A93)/(1-$B$10)),Normalizacao!$AK$5:$AK$17)/B93,""))</f>
        <v>0.845496600932139</v>
      </c>
      <c r="F93" s="17" t="str">
        <f aca="false">IF(C93="","",IF(INDEX(C93:E93,$B$5)&gt;=MAX(C93:E93),$B$4,INDEX(Pontuacao!$A$29:$A$31,MATCH(MAX(C93:E93),C93:E93,0))))</f>
        <v>Microsoft Azure</v>
      </c>
      <c r="G93" s="43" t="str">
        <f aca="false">IF(OR(F93="",F93=$B$4,ABS(A93-$B$10)&lt;0.000000001),"",ABS(A93-$B$10))</f>
        <v/>
      </c>
      <c r="I93" s="60" t="n">
        <f aca="false">(ROW()-17)*$B$6</f>
        <v>0.38</v>
      </c>
      <c r="J93" s="43" t="n">
        <f aca="false">IFERROR(SUMPRODUCT(Normalizacao!$AL$5:$AL$17,Pesos_Indicadores!$I$5:$I$17,((Pesos_Indicadores!$B$5:$B$17=$A$11)*I93+(Pesos_Indicadores!$B$5:$B$17&lt;&gt;$A$11)*Pesos_Indicadores!$G$5:$G$17*(1-I93)/(1-$B$11))),0)</f>
        <v>0.912307692307692</v>
      </c>
      <c r="K93" s="60" t="n">
        <f aca="false">IF(J93=0,"",IFERROR(SUMPRODUCT(Normalizacao!$AL$5:$AL$17,Pesos_Indicadores!$I$5:$I$17,((Pesos_Indicadores!$B$5:$B$17=$A$11)*I93+(Pesos_Indicadores!$B$5:$B$17&lt;&gt;$A$11)*Pesos_Indicadores!$G$5:$G$17*(1-I93)/(1-$B$11)),Normalizacao!$AI$5:$AI$17)/J93,""))</f>
        <v>0.774002352966146</v>
      </c>
      <c r="L93" s="60" t="n">
        <f aca="false">IF(J93=0,"",IFERROR(SUMPRODUCT(Normalizacao!$AL$5:$AL$17,Pesos_Indicadores!$I$5:$I$17,((Pesos_Indicadores!$B$5:$B$17=$A$11)*I93+(Pesos_Indicadores!$B$5:$B$17&lt;&gt;$A$11)*Pesos_Indicadores!$G$5:$G$17*(1-I93)/(1-$B$11)),Normalizacao!$AJ$5:$AJ$17)/J93,""))</f>
        <v>0.791425535229856</v>
      </c>
      <c r="M93" s="60" t="n">
        <f aca="false">IF(J93=0,"",IFERROR(SUMPRODUCT(Normalizacao!$AL$5:$AL$17,Pesos_Indicadores!$I$5:$I$17,((Pesos_Indicadores!$B$5:$B$17=$A$11)*I93+(Pesos_Indicadores!$B$5:$B$17&lt;&gt;$A$11)*Pesos_Indicadores!$G$5:$G$17*(1-I93)/(1-$B$11)),Normalizacao!$AK$5:$AK$17)/J93,""))</f>
        <v>0.829899749566019</v>
      </c>
      <c r="N93" s="17" t="str">
        <f aca="false">IF(K93="","",IF(INDEX(K93:M93,$B$5)&gt;=MAX(K93:M93),$B$4,INDEX(Pontuacao!$A$29:$A$31,MATCH(MAX(K93:M93),K93:M93,0))))</f>
        <v>Microsoft Azure</v>
      </c>
      <c r="O93" s="43" t="str">
        <f aca="false">IF(OR(N93="",N93=$B$4,ABS(I93-$B$11)&lt;0.000000001),"",ABS(I93-$B$11))</f>
        <v/>
      </c>
      <c r="Q93" s="60" t="n">
        <f aca="false">(ROW()-17)*$B$6</f>
        <v>0.38</v>
      </c>
      <c r="R93" s="43" t="n">
        <f aca="false">IFERROR(SUMPRODUCT(Normalizacao!$AL$5:$AL$17,Pesos_Indicadores!$I$5:$I$17,((Pesos_Indicadores!$B$5:$B$17=$A$12)*Q93+(Pesos_Indicadores!$B$5:$B$17&lt;&gt;$A$12)*Pesos_Indicadores!$G$5:$G$17*(1-Q93)/(1-$B$12))),0)</f>
        <v>0.928461538461539</v>
      </c>
      <c r="S93" s="60" t="n">
        <f aca="false">IF(R93=0,"",IFERROR(SUMPRODUCT(Normalizacao!$AL$5:$AL$17,Pesos_Indicadores!$I$5:$I$17,((Pesos_Indicadores!$B$5:$B$17=$A$12)*Q93+(Pesos_Indicadores!$B$5:$B$17&lt;&gt;$A$12)*Pesos_Indicadores!$G$5:$G$17*(1-Q93)/(1-$B$12)),Normalizacao!$AI$5:$AI$17)/R93,""))</f>
        <v>0.736192173230526</v>
      </c>
      <c r="T93" s="60" t="n">
        <f aca="false">IF(R93=0,"",IFERROR(SUMPRODUCT(Normalizacao!$AL$5:$AL$17,Pesos_Indicadores!$I$5:$I$17,((Pesos_Indicadores!$B$5:$B$17=$A$12)*Q93+(Pesos_Indicadores!$B$5:$B$17&lt;&gt;$A$12)*Pesos_Indicadores!$G$5:$G$17*(1-Q93)/(1-$B$12)),Normalizacao!$AJ$5:$AJ$17)/R93,""))</f>
        <v>0.821792397608155</v>
      </c>
      <c r="U93" s="60" t="n">
        <f aca="false">IF(R93=0,"",IFERROR(SUMPRODUCT(Normalizacao!$AL$5:$AL$17,Pesos_Indicadores!$I$5:$I$17,((Pesos_Indicadores!$B$5:$B$17=$A$12)*Q93+(Pesos_Indicadores!$B$5:$B$17&lt;&gt;$A$12)*Pesos_Indicadores!$G$5:$G$17*(1-Q93)/(1-$B$12)),Normalizacao!$AK$5:$AK$17)/R93,""))</f>
        <v>0.849060043224704</v>
      </c>
      <c r="V93" s="17" t="str">
        <f aca="false">IF(S93="","",IF(INDEX(S93:U93,$B$5)&gt;=MAX(S93:U93),$B$4,INDEX(Pontuacao!$A$29:$A$31,MATCH(MAX(S93:U93),S93:U93,0))))</f>
        <v>Microsoft Azure</v>
      </c>
      <c r="W93" s="43" t="str">
        <f aca="false">IF(OR(V93="",V93=$B$4,ABS(Q93-$B$12)&lt;0.000000001),"",ABS(Q93-$B$12))</f>
        <v/>
      </c>
    </row>
    <row r="94" customFormat="false" ht="15" hidden="false" customHeight="true" outlineLevel="0" collapsed="false">
      <c r="A94" s="60" t="n">
        <f aca="false">(ROW()-17)*$B$6</f>
        <v>0.385</v>
      </c>
      <c r="B94" s="43" t="n">
        <f aca="false">IFERROR(SUMPRODUCT(Normalizacao!$AL$5:$AL$17,Pesos_Indicadores!$I$5:$I$17,((Pesos_Indicadores!$B$5:$B$17=$A$10)*A94+(Pesos_Indicadores!$B$5:$B$17&lt;&gt;$A$10)*Pesos_Indicadores!$G$5:$G$17*(1-A94)/(1-$B$10))),0)</f>
        <v>0.985807692307692</v>
      </c>
      <c r="C94" s="60" t="n">
        <f aca="false">IF(B94=0,"",IFERROR(SUMPRODUCT(Normalizacao!$AL$5:$AL$17,Pesos_Indicadores!$I$5:$I$17,((Pesos_Indicadores!$B$5:$B$17=$A$10)*A94+(Pesos_Indicadores!$B$5:$B$17&lt;&gt;$A$10)*Pesos_Indicadores!$G$5:$G$17*(1-A94)/(1-$B$10)),Normalizacao!$AI$5:$AI$17)/B94,""))</f>
        <v>0.708606254118587</v>
      </c>
      <c r="D94" s="60" t="n">
        <f aca="false">IF(B94=0,"",IFERROR(SUMPRODUCT(Normalizacao!$AL$5:$AL$17,Pesos_Indicadores!$I$5:$I$17,((Pesos_Indicadores!$B$5:$B$17=$A$10)*A94+(Pesos_Indicadores!$B$5:$B$17&lt;&gt;$A$10)*Pesos_Indicadores!$G$5:$G$17*(1-A94)/(1-$B$10)),Normalizacao!$AJ$5:$AJ$17)/B94,""))</f>
        <v>0.808731974528127</v>
      </c>
      <c r="E94" s="60" t="n">
        <f aca="false">IF(B94=0,"",IFERROR(SUMPRODUCT(Normalizacao!$AL$5:$AL$17,Pesos_Indicadores!$I$5:$I$17,((Pesos_Indicadores!$B$5:$B$17=$A$10)*A94+(Pesos_Indicadores!$B$5:$B$17&lt;&gt;$A$10)*Pesos_Indicadores!$G$5:$G$17*(1-A94)/(1-$B$10)),Normalizacao!$AK$5:$AK$17)/B94,""))</f>
        <v>0.845888721563039</v>
      </c>
      <c r="F94" s="17" t="str">
        <f aca="false">IF(C94="","",IF(INDEX(C94:E94,$B$5)&gt;=MAX(C94:E94),$B$4,INDEX(Pontuacao!$A$29:$A$31,MATCH(MAX(C94:E94),C94:E94,0))))</f>
        <v>Microsoft Azure</v>
      </c>
      <c r="G94" s="43" t="str">
        <f aca="false">IF(OR(F94="",F94=$B$4,ABS(A94-$B$10)&lt;0.000000001),"",ABS(A94-$B$10))</f>
        <v/>
      </c>
      <c r="I94" s="60" t="n">
        <f aca="false">(ROW()-17)*$B$6</f>
        <v>0.385</v>
      </c>
      <c r="J94" s="43" t="n">
        <f aca="false">IFERROR(SUMPRODUCT(Normalizacao!$AL$5:$AL$17,Pesos_Indicadores!$I$5:$I$17,((Pesos_Indicadores!$B$5:$B$17=$A$11)*I94+(Pesos_Indicadores!$B$5:$B$17&lt;&gt;$A$11)*Pesos_Indicadores!$G$5:$G$17*(1-I94)/(1-$B$11))),0)</f>
        <v>0.911153846153846</v>
      </c>
      <c r="K94" s="60" t="n">
        <f aca="false">IF(J94=0,"",IFERROR(SUMPRODUCT(Normalizacao!$AL$5:$AL$17,Pesos_Indicadores!$I$5:$I$17,((Pesos_Indicadores!$B$5:$B$17=$A$11)*I94+(Pesos_Indicadores!$B$5:$B$17&lt;&gt;$A$11)*Pesos_Indicadores!$G$5:$G$17*(1-I94)/(1-$B$11)),Normalizacao!$AI$5:$AI$17)/J94,""))</f>
        <v>0.774519773185878</v>
      </c>
      <c r="L94" s="60" t="n">
        <f aca="false">IF(J94=0,"",IFERROR(SUMPRODUCT(Normalizacao!$AL$5:$AL$17,Pesos_Indicadores!$I$5:$I$17,((Pesos_Indicadores!$B$5:$B$17=$A$11)*I94+(Pesos_Indicadores!$B$5:$B$17&lt;&gt;$A$11)*Pesos_Indicadores!$G$5:$G$17*(1-I94)/(1-$B$11)),Normalizacao!$AJ$5:$AJ$17)/J94,""))</f>
        <v>0.79182433195074</v>
      </c>
      <c r="M94" s="60" t="n">
        <f aca="false">IF(J94=0,"",IFERROR(SUMPRODUCT(Normalizacao!$AL$5:$AL$17,Pesos_Indicadores!$I$5:$I$17,((Pesos_Indicadores!$B$5:$B$17=$A$11)*I94+(Pesos_Indicadores!$B$5:$B$17&lt;&gt;$A$11)*Pesos_Indicadores!$G$5:$G$17*(1-I94)/(1-$B$11)),Normalizacao!$AK$5:$AK$17)/J94,""))</f>
        <v>0.830034148280805</v>
      </c>
      <c r="N94" s="17" t="str">
        <f aca="false">IF(K94="","",IF(INDEX(K94:M94,$B$5)&gt;=MAX(K94:M94),$B$4,INDEX(Pontuacao!$A$29:$A$31,MATCH(MAX(K94:M94),K94:M94,0))))</f>
        <v>Microsoft Azure</v>
      </c>
      <c r="O94" s="43" t="str">
        <f aca="false">IF(OR(N94="",N94=$B$4,ABS(I94-$B$11)&lt;0.000000001),"",ABS(I94-$B$11))</f>
        <v/>
      </c>
      <c r="Q94" s="60" t="n">
        <f aca="false">(ROW()-17)*$B$6</f>
        <v>0.385</v>
      </c>
      <c r="R94" s="43" t="n">
        <f aca="false">IFERROR(SUMPRODUCT(Normalizacao!$AL$5:$AL$17,Pesos_Indicadores!$I$5:$I$17,((Pesos_Indicadores!$B$5:$B$17=$A$12)*Q94+(Pesos_Indicadores!$B$5:$B$17&lt;&gt;$A$12)*Pesos_Indicadores!$G$5:$G$17*(1-Q94)/(1-$B$12))),0)</f>
        <v>0.929038461538462</v>
      </c>
      <c r="S94" s="60" t="n">
        <f aca="false">IF(R94=0,"",IFERROR(SUMPRODUCT(Normalizacao!$AL$5:$AL$17,Pesos_Indicadores!$I$5:$I$17,((Pesos_Indicadores!$B$5:$B$17=$A$12)*Q94+(Pesos_Indicadores!$B$5:$B$17&lt;&gt;$A$12)*Pesos_Indicadores!$G$5:$G$17*(1-Q94)/(1-$B$12)),Normalizacao!$AI$5:$AI$17)/R94,""))</f>
        <v>0.736312032037561</v>
      </c>
      <c r="T94" s="60" t="n">
        <f aca="false">IF(R94=0,"",IFERROR(SUMPRODUCT(Normalizacao!$AL$5:$AL$17,Pesos_Indicadores!$I$5:$I$17,((Pesos_Indicadores!$B$5:$B$17=$A$12)*Q94+(Pesos_Indicadores!$B$5:$B$17&lt;&gt;$A$12)*Pesos_Indicadores!$G$5:$G$17*(1-Q94)/(1-$B$12)),Normalizacao!$AJ$5:$AJ$17)/R94,""))</f>
        <v>0.821169203873534</v>
      </c>
      <c r="U94" s="60" t="n">
        <f aca="false">IF(R94=0,"",IFERROR(SUMPRODUCT(Normalizacao!$AL$5:$AL$17,Pesos_Indicadores!$I$5:$I$17,((Pesos_Indicadores!$B$5:$B$17=$A$12)*Q94+(Pesos_Indicadores!$B$5:$B$17&lt;&gt;$A$12)*Pesos_Indicadores!$G$5:$G$17*(1-Q94)/(1-$B$12)),Normalizacao!$AK$5:$AK$17)/R94,""))</f>
        <v>0.848742683857498</v>
      </c>
      <c r="V94" s="17" t="str">
        <f aca="false">IF(S94="","",IF(INDEX(S94:U94,$B$5)&gt;=MAX(S94:U94),$B$4,INDEX(Pontuacao!$A$29:$A$31,MATCH(MAX(S94:U94),S94:U94,0))))</f>
        <v>Microsoft Azure</v>
      </c>
      <c r="W94" s="43" t="str">
        <f aca="false">IF(OR(V94="",V94=$B$4,ABS(Q94-$B$12)&lt;0.000000001),"",ABS(Q94-$B$12))</f>
        <v/>
      </c>
    </row>
    <row r="95" customFormat="false" ht="15" hidden="false" customHeight="true" outlineLevel="0" collapsed="false">
      <c r="A95" s="60" t="n">
        <f aca="false">(ROW()-17)*$B$6</f>
        <v>0.39</v>
      </c>
      <c r="B95" s="43" t="n">
        <f aca="false">IFERROR(SUMPRODUCT(Normalizacao!$AL$5:$AL$17,Pesos_Indicadores!$I$5:$I$17,((Pesos_Indicadores!$B$5:$B$17=$A$10)*A95+(Pesos_Indicadores!$B$5:$B$17&lt;&gt;$A$10)*Pesos_Indicadores!$G$5:$G$17*(1-A95)/(1-$B$10))),0)</f>
        <v>0.985923076923077</v>
      </c>
      <c r="C95" s="60" t="n">
        <f aca="false">IF(B95=0,"",IFERROR(SUMPRODUCT(Normalizacao!$AL$5:$AL$17,Pesos_Indicadores!$I$5:$I$17,((Pesos_Indicadores!$B$5:$B$17=$A$10)*A95+(Pesos_Indicadores!$B$5:$B$17&lt;&gt;$A$10)*Pesos_Indicadores!$G$5:$G$17*(1-A95)/(1-$B$10)),Normalizacao!$AI$5:$AI$17)/B95,""))</f>
        <v>0.707972253848355</v>
      </c>
      <c r="D95" s="60" t="n">
        <f aca="false">IF(B95=0,"",IFERROR(SUMPRODUCT(Normalizacao!$AL$5:$AL$17,Pesos_Indicadores!$I$5:$I$17,((Pesos_Indicadores!$B$5:$B$17=$A$10)*A95+(Pesos_Indicadores!$B$5:$B$17&lt;&gt;$A$10)*Pesos_Indicadores!$G$5:$G$17*(1-A95)/(1-$B$10)),Normalizacao!$AJ$5:$AJ$17)/B95,""))</f>
        <v>0.809386438188412</v>
      </c>
      <c r="E95" s="60" t="n">
        <f aca="false">IF(B95=0,"",IFERROR(SUMPRODUCT(Normalizacao!$AL$5:$AL$17,Pesos_Indicadores!$I$5:$I$17,((Pesos_Indicadores!$B$5:$B$17=$A$10)*A95+(Pesos_Indicadores!$B$5:$B$17&lt;&gt;$A$10)*Pesos_Indicadores!$G$5:$G$17*(1-A95)/(1-$B$10)),Normalizacao!$AK$5:$AK$17)/B95,""))</f>
        <v>0.846280750412562</v>
      </c>
      <c r="F95" s="17" t="str">
        <f aca="false">IF(C95="","",IF(INDEX(C95:E95,$B$5)&gt;=MAX(C95:E95),$B$4,INDEX(Pontuacao!$A$29:$A$31,MATCH(MAX(C95:E95),C95:E95,0))))</f>
        <v>Microsoft Azure</v>
      </c>
      <c r="G95" s="43" t="str">
        <f aca="false">IF(OR(F95="",F95=$B$4,ABS(A95-$B$10)&lt;0.000000001),"",ABS(A95-$B$10))</f>
        <v/>
      </c>
      <c r="I95" s="60" t="n">
        <f aca="false">(ROW()-17)*$B$6</f>
        <v>0.39</v>
      </c>
      <c r="J95" s="43" t="n">
        <f aca="false">IFERROR(SUMPRODUCT(Normalizacao!$AL$5:$AL$17,Pesos_Indicadores!$I$5:$I$17,((Pesos_Indicadores!$B$5:$B$17=$A$11)*I95+(Pesos_Indicadores!$B$5:$B$17&lt;&gt;$A$11)*Pesos_Indicadores!$G$5:$G$17*(1-I95)/(1-$B$11))),0)</f>
        <v>0.91</v>
      </c>
      <c r="K95" s="60" t="n">
        <f aca="false">IF(J95=0,"",IFERROR(SUMPRODUCT(Normalizacao!$AL$5:$AL$17,Pesos_Indicadores!$I$5:$I$17,((Pesos_Indicadores!$B$5:$B$17=$A$11)*I95+(Pesos_Indicadores!$B$5:$B$17&lt;&gt;$A$11)*Pesos_Indicadores!$G$5:$G$17*(1-I95)/(1-$B$11)),Normalizacao!$AI$5:$AI$17)/J95,""))</f>
        <v>0.775038505544799</v>
      </c>
      <c r="L95" s="60" t="n">
        <f aca="false">IF(J95=0,"",IFERROR(SUMPRODUCT(Normalizacao!$AL$5:$AL$17,Pesos_Indicadores!$I$5:$I$17,((Pesos_Indicadores!$B$5:$B$17=$A$11)*I95+(Pesos_Indicadores!$B$5:$B$17&lt;&gt;$A$11)*Pesos_Indicadores!$G$5:$G$17*(1-I95)/(1-$B$11)),Normalizacao!$AJ$5:$AJ$17)/J95,""))</f>
        <v>0.792224139990444</v>
      </c>
      <c r="M95" s="60" t="n">
        <f aca="false">IF(J95=0,"",IFERROR(SUMPRODUCT(Normalizacao!$AL$5:$AL$17,Pesos_Indicadores!$I$5:$I$17,((Pesos_Indicadores!$B$5:$B$17=$A$11)*I95+(Pesos_Indicadores!$B$5:$B$17&lt;&gt;$A$11)*Pesos_Indicadores!$G$5:$G$17*(1-I95)/(1-$B$11)),Normalizacao!$AK$5:$AK$17)/J95,""))</f>
        <v>0.830168887820735</v>
      </c>
      <c r="N95" s="17" t="str">
        <f aca="false">IF(K95="","",IF(INDEX(K95:M95,$B$5)&gt;=MAX(K95:M95),$B$4,INDEX(Pontuacao!$A$29:$A$31,MATCH(MAX(K95:M95),K95:M95,0))))</f>
        <v>Microsoft Azure</v>
      </c>
      <c r="O95" s="43" t="str">
        <f aca="false">IF(OR(N95="",N95=$B$4,ABS(I95-$B$11)&lt;0.000000001),"",ABS(I95-$B$11))</f>
        <v/>
      </c>
      <c r="Q95" s="60" t="n">
        <f aca="false">(ROW()-17)*$B$6</f>
        <v>0.39</v>
      </c>
      <c r="R95" s="43" t="n">
        <f aca="false">IFERROR(SUMPRODUCT(Normalizacao!$AL$5:$AL$17,Pesos_Indicadores!$I$5:$I$17,((Pesos_Indicadores!$B$5:$B$17=$A$12)*Q95+(Pesos_Indicadores!$B$5:$B$17&lt;&gt;$A$12)*Pesos_Indicadores!$G$5:$G$17*(1-Q95)/(1-$B$12))),0)</f>
        <v>0.929615384615385</v>
      </c>
      <c r="S95" s="60" t="n">
        <f aca="false">IF(R95=0,"",IFERROR(SUMPRODUCT(Normalizacao!$AL$5:$AL$17,Pesos_Indicadores!$I$5:$I$17,((Pesos_Indicadores!$B$5:$B$17=$A$12)*Q95+(Pesos_Indicadores!$B$5:$B$17&lt;&gt;$A$12)*Pesos_Indicadores!$G$5:$G$17*(1-Q95)/(1-$B$12)),Normalizacao!$AI$5:$AI$17)/R95,""))</f>
        <v>0.736431742074872</v>
      </c>
      <c r="T95" s="60" t="n">
        <f aca="false">IF(R95=0,"",IFERROR(SUMPRODUCT(Normalizacao!$AL$5:$AL$17,Pesos_Indicadores!$I$5:$I$17,((Pesos_Indicadores!$B$5:$B$17=$A$12)*Q95+(Pesos_Indicadores!$B$5:$B$17&lt;&gt;$A$12)*Pesos_Indicadores!$G$5:$G$17*(1-Q95)/(1-$B$12)),Normalizacao!$AJ$5:$AJ$17)/R95,""))</f>
        <v>0.82054678365203</v>
      </c>
      <c r="U95" s="60" t="n">
        <f aca="false">IF(R95=0,"",IFERROR(SUMPRODUCT(Normalizacao!$AL$5:$AL$17,Pesos_Indicadores!$I$5:$I$17,((Pesos_Indicadores!$B$5:$B$17=$A$12)*Q95+(Pesos_Indicadores!$B$5:$B$17&lt;&gt;$A$12)*Pesos_Indicadores!$G$5:$G$17*(1-Q95)/(1-$B$12)),Normalizacao!$AK$5:$AK$17)/R95,""))</f>
        <v>0.848425718399312</v>
      </c>
      <c r="V95" s="17" t="str">
        <f aca="false">IF(S95="","",IF(INDEX(S95:U95,$B$5)&gt;=MAX(S95:U95),$B$4,INDEX(Pontuacao!$A$29:$A$31,MATCH(MAX(S95:U95),S95:U95,0))))</f>
        <v>Microsoft Azure</v>
      </c>
      <c r="W95" s="43" t="str">
        <f aca="false">IF(OR(V95="",V95=$B$4,ABS(Q95-$B$12)&lt;0.000000001),"",ABS(Q95-$B$12))</f>
        <v/>
      </c>
    </row>
    <row r="96" customFormat="false" ht="15" hidden="false" customHeight="true" outlineLevel="0" collapsed="false">
      <c r="A96" s="60" t="n">
        <f aca="false">(ROW()-17)*$B$6</f>
        <v>0.395</v>
      </c>
      <c r="B96" s="43" t="n">
        <f aca="false">IFERROR(SUMPRODUCT(Normalizacao!$AL$5:$AL$17,Pesos_Indicadores!$I$5:$I$17,((Pesos_Indicadores!$B$5:$B$17=$A$10)*A96+(Pesos_Indicadores!$B$5:$B$17&lt;&gt;$A$10)*Pesos_Indicadores!$G$5:$G$17*(1-A96)/(1-$B$10))),0)</f>
        <v>0.986038461538462</v>
      </c>
      <c r="C96" s="60" t="n">
        <f aca="false">IF(B96=0,"",IFERROR(SUMPRODUCT(Normalizacao!$AL$5:$AL$17,Pesos_Indicadores!$I$5:$I$17,((Pesos_Indicadores!$B$5:$B$17=$A$10)*A96+(Pesos_Indicadores!$B$5:$B$17&lt;&gt;$A$10)*Pesos_Indicadores!$G$5:$G$17*(1-A96)/(1-$B$10)),Normalizacao!$AI$5:$AI$17)/B96,""))</f>
        <v>0.707338401957483</v>
      </c>
      <c r="D96" s="60" t="n">
        <f aca="false">IF(B96=0,"",IFERROR(SUMPRODUCT(Normalizacao!$AL$5:$AL$17,Pesos_Indicadores!$I$5:$I$17,((Pesos_Indicadores!$B$5:$B$17=$A$10)*A96+(Pesos_Indicadores!$B$5:$B$17&lt;&gt;$A$10)*Pesos_Indicadores!$G$5:$G$17*(1-A96)/(1-$B$10)),Normalizacao!$AJ$5:$AJ$17)/B96,""))</f>
        <v>0.810040748680151</v>
      </c>
      <c r="E96" s="60" t="n">
        <f aca="false">IF(B96=0,"",IFERROR(SUMPRODUCT(Normalizacao!$AL$5:$AL$17,Pesos_Indicadores!$I$5:$I$17,((Pesos_Indicadores!$B$5:$B$17=$A$10)*A96+(Pesos_Indicadores!$B$5:$B$17&lt;&gt;$A$10)*Pesos_Indicadores!$G$5:$G$17*(1-A96)/(1-$B$10)),Normalizacao!$AK$5:$AK$17)/B96,""))</f>
        <v>0.84667268751293</v>
      </c>
      <c r="F96" s="17" t="str">
        <f aca="false">IF(C96="","",IF(INDEX(C96:E96,$B$5)&gt;=MAX(C96:E96),$B$4,INDEX(Pontuacao!$A$29:$A$31,MATCH(MAX(C96:E96),C96:E96,0))))</f>
        <v>Microsoft Azure</v>
      </c>
      <c r="G96" s="43" t="str">
        <f aca="false">IF(OR(F96="",F96=$B$4,ABS(A96-$B$10)&lt;0.000000001),"",ABS(A96-$B$10))</f>
        <v/>
      </c>
      <c r="I96" s="60" t="n">
        <f aca="false">(ROW()-17)*$B$6</f>
        <v>0.395</v>
      </c>
      <c r="J96" s="43" t="n">
        <f aca="false">IFERROR(SUMPRODUCT(Normalizacao!$AL$5:$AL$17,Pesos_Indicadores!$I$5:$I$17,((Pesos_Indicadores!$B$5:$B$17=$A$11)*I96+(Pesos_Indicadores!$B$5:$B$17&lt;&gt;$A$11)*Pesos_Indicadores!$G$5:$G$17*(1-I96)/(1-$B$11))),0)</f>
        <v>0.908846153846154</v>
      </c>
      <c r="K96" s="60" t="n">
        <f aca="false">IF(J96=0,"",IFERROR(SUMPRODUCT(Normalizacao!$AL$5:$AL$17,Pesos_Indicadores!$I$5:$I$17,((Pesos_Indicadores!$B$5:$B$17=$A$11)*I96+(Pesos_Indicadores!$B$5:$B$17&lt;&gt;$A$11)*Pesos_Indicadores!$G$5:$G$17*(1-I96)/(1-$B$11)),Normalizacao!$AI$5:$AI$17)/J96,""))</f>
        <v>0.775558555040474</v>
      </c>
      <c r="L96" s="60" t="n">
        <f aca="false">IF(J96=0,"",IFERROR(SUMPRODUCT(Normalizacao!$AL$5:$AL$17,Pesos_Indicadores!$I$5:$I$17,((Pesos_Indicadores!$B$5:$B$17=$A$11)*I96+(Pesos_Indicadores!$B$5:$B$17&lt;&gt;$A$11)*Pesos_Indicadores!$G$5:$G$17*(1-I96)/(1-$B$11)),Normalizacao!$AJ$5:$AJ$17)/J96,""))</f>
        <v>0.792624963200795</v>
      </c>
      <c r="M96" s="60" t="n">
        <f aca="false">IF(J96=0,"",IFERROR(SUMPRODUCT(Normalizacao!$AL$5:$AL$17,Pesos_Indicadores!$I$5:$I$17,((Pesos_Indicadores!$B$5:$B$17=$A$11)*I96+(Pesos_Indicadores!$B$5:$B$17&lt;&gt;$A$11)*Pesos_Indicadores!$G$5:$G$17*(1-I96)/(1-$B$11)),Normalizacao!$AK$5:$AK$17)/J96,""))</f>
        <v>0.830303969483914</v>
      </c>
      <c r="N96" s="17" t="str">
        <f aca="false">IF(K96="","",IF(INDEX(K96:M96,$B$5)&gt;=MAX(K96:M96),$B$4,INDEX(Pontuacao!$A$29:$A$31,MATCH(MAX(K96:M96),K96:M96,0))))</f>
        <v>Microsoft Azure</v>
      </c>
      <c r="O96" s="43" t="str">
        <f aca="false">IF(OR(N96="",N96=$B$4,ABS(I96-$B$11)&lt;0.000000001),"",ABS(I96-$B$11))</f>
        <v/>
      </c>
      <c r="Q96" s="60" t="n">
        <f aca="false">(ROW()-17)*$B$6</f>
        <v>0.395</v>
      </c>
      <c r="R96" s="43" t="n">
        <f aca="false">IFERROR(SUMPRODUCT(Normalizacao!$AL$5:$AL$17,Pesos_Indicadores!$I$5:$I$17,((Pesos_Indicadores!$B$5:$B$17=$A$12)*Q96+(Pesos_Indicadores!$B$5:$B$17&lt;&gt;$A$12)*Pesos_Indicadores!$G$5:$G$17*(1-Q96)/(1-$B$12))),0)</f>
        <v>0.930192307692308</v>
      </c>
      <c r="S96" s="60" t="n">
        <f aca="false">IF(R96=0,"",IFERROR(SUMPRODUCT(Normalizacao!$AL$5:$AL$17,Pesos_Indicadores!$I$5:$I$17,((Pesos_Indicadores!$B$5:$B$17=$A$12)*Q96+(Pesos_Indicadores!$B$5:$B$17&lt;&gt;$A$12)*Pesos_Indicadores!$G$5:$G$17*(1-Q96)/(1-$B$12)),Normalizacao!$AI$5:$AI$17)/R96,""))</f>
        <v>0.73655130361927</v>
      </c>
      <c r="T96" s="60" t="n">
        <f aca="false">IF(R96=0,"",IFERROR(SUMPRODUCT(Normalizacao!$AL$5:$AL$17,Pesos_Indicadores!$I$5:$I$17,((Pesos_Indicadores!$B$5:$B$17=$A$12)*Q96+(Pesos_Indicadores!$B$5:$B$17&lt;&gt;$A$12)*Pesos_Indicadores!$G$5:$G$17*(1-Q96)/(1-$B$12)),Normalizacao!$AJ$5:$AJ$17)/R96,""))</f>
        <v>0.8199251355044</v>
      </c>
      <c r="U96" s="60" t="n">
        <f aca="false">IF(R96=0,"",IFERROR(SUMPRODUCT(Normalizacao!$AL$5:$AL$17,Pesos_Indicadores!$I$5:$I$17,((Pesos_Indicadores!$B$5:$B$17=$A$12)*Q96+(Pesos_Indicadores!$B$5:$B$17&lt;&gt;$A$12)*Pesos_Indicadores!$G$5:$G$17*(1-Q96)/(1-$B$12)),Normalizacao!$AK$5:$AK$17)/R96,""))</f>
        <v>0.848109146117217</v>
      </c>
      <c r="V96" s="17" t="str">
        <f aca="false">IF(S96="","",IF(INDEX(S96:U96,$B$5)&gt;=MAX(S96:U96),$B$4,INDEX(Pontuacao!$A$29:$A$31,MATCH(MAX(S96:U96),S96:U96,0))))</f>
        <v>Microsoft Azure</v>
      </c>
      <c r="W96" s="43" t="str">
        <f aca="false">IF(OR(V96="",V96=$B$4,ABS(Q96-$B$12)&lt;0.000000001),"",ABS(Q96-$B$12))</f>
        <v/>
      </c>
    </row>
    <row r="97" customFormat="false" ht="15" hidden="false" customHeight="true" outlineLevel="0" collapsed="false">
      <c r="A97" s="60" t="n">
        <f aca="false">(ROW()-17)*$B$6</f>
        <v>0.4</v>
      </c>
      <c r="B97" s="43" t="n">
        <f aca="false">IFERROR(SUMPRODUCT(Normalizacao!$AL$5:$AL$17,Pesos_Indicadores!$I$5:$I$17,((Pesos_Indicadores!$B$5:$B$17=$A$10)*A97+(Pesos_Indicadores!$B$5:$B$17&lt;&gt;$A$10)*Pesos_Indicadores!$G$5:$G$17*(1-A97)/(1-$B$10))),0)</f>
        <v>0.986153846153846</v>
      </c>
      <c r="C97" s="60" t="n">
        <f aca="false">IF(B97=0,"",IFERROR(SUMPRODUCT(Normalizacao!$AL$5:$AL$17,Pesos_Indicadores!$I$5:$I$17,((Pesos_Indicadores!$B$5:$B$17=$A$10)*A97+(Pesos_Indicadores!$B$5:$B$17&lt;&gt;$A$10)*Pesos_Indicadores!$G$5:$G$17*(1-A97)/(1-$B$10)),Normalizacao!$AI$5:$AI$17)/B97,""))</f>
        <v>0.706704698393885</v>
      </c>
      <c r="D97" s="60" t="n">
        <f aca="false">IF(B97=0,"",IFERROR(SUMPRODUCT(Normalizacao!$AL$5:$AL$17,Pesos_Indicadores!$I$5:$I$17,((Pesos_Indicadores!$B$5:$B$17=$A$10)*A97+(Pesos_Indicadores!$B$5:$B$17&lt;&gt;$A$10)*Pesos_Indicadores!$G$5:$G$17*(1-A97)/(1-$B$10)),Normalizacao!$AJ$5:$AJ$17)/B97,""))</f>
        <v>0.810694906057112</v>
      </c>
      <c r="E97" s="60" t="n">
        <f aca="false">IF(B97=0,"",IFERROR(SUMPRODUCT(Normalizacao!$AL$5:$AL$17,Pesos_Indicadores!$I$5:$I$17,((Pesos_Indicadores!$B$5:$B$17=$A$10)*A97+(Pesos_Indicadores!$B$5:$B$17&lt;&gt;$A$10)*Pesos_Indicadores!$G$5:$G$17*(1-A97)/(1-$B$10)),Normalizacao!$AK$5:$AK$17)/B97,""))</f>
        <v>0.847064532896347</v>
      </c>
      <c r="F97" s="17" t="str">
        <f aca="false">IF(C97="","",IF(INDEX(C97:E97,$B$5)&gt;=MAX(C97:E97),$B$4,INDEX(Pontuacao!$A$29:$A$31,MATCH(MAX(C97:E97),C97:E97,0))))</f>
        <v>Microsoft Azure</v>
      </c>
      <c r="G97" s="43" t="str">
        <f aca="false">IF(OR(F97="",F97=$B$4,ABS(A97-$B$10)&lt;0.000000001),"",ABS(A97-$B$10))</f>
        <v/>
      </c>
      <c r="I97" s="60" t="n">
        <f aca="false">(ROW()-17)*$B$6</f>
        <v>0.4</v>
      </c>
      <c r="J97" s="43" t="n">
        <f aca="false">IFERROR(SUMPRODUCT(Normalizacao!$AL$5:$AL$17,Pesos_Indicadores!$I$5:$I$17,((Pesos_Indicadores!$B$5:$B$17=$A$11)*I97+(Pesos_Indicadores!$B$5:$B$17&lt;&gt;$A$11)*Pesos_Indicadores!$G$5:$G$17*(1-I97)/(1-$B$11))),0)</f>
        <v>0.907692307692308</v>
      </c>
      <c r="K97" s="60" t="n">
        <f aca="false">IF(J97=0,"",IFERROR(SUMPRODUCT(Normalizacao!$AL$5:$AL$17,Pesos_Indicadores!$I$5:$I$17,((Pesos_Indicadores!$B$5:$B$17=$A$11)*I97+(Pesos_Indicadores!$B$5:$B$17&lt;&gt;$A$11)*Pesos_Indicadores!$G$5:$G$17*(1-I97)/(1-$B$11)),Normalizacao!$AI$5:$AI$17)/J97,""))</f>
        <v>0.776079926695885</v>
      </c>
      <c r="L97" s="60" t="n">
        <f aca="false">IF(J97=0,"",IFERROR(SUMPRODUCT(Normalizacao!$AL$5:$AL$17,Pesos_Indicadores!$I$5:$I$17,((Pesos_Indicadores!$B$5:$B$17=$A$11)*I97+(Pesos_Indicadores!$B$5:$B$17&lt;&gt;$A$11)*Pesos_Indicadores!$G$5:$G$17*(1-I97)/(1-$B$11)),Normalizacao!$AJ$5:$AJ$17)/J97,""))</f>
        <v>0.793026805453206</v>
      </c>
      <c r="M97" s="60" t="n">
        <f aca="false">IF(J97=0,"",IFERROR(SUMPRODUCT(Normalizacao!$AL$5:$AL$17,Pesos_Indicadores!$I$5:$I$17,((Pesos_Indicadores!$B$5:$B$17=$A$11)*I97+(Pesos_Indicadores!$B$5:$B$17&lt;&gt;$A$11)*Pesos_Indicadores!$G$5:$G$17*(1-I97)/(1-$B$11)),Normalizacao!$AK$5:$AK$17)/J97,""))</f>
        <v>0.830439394575051</v>
      </c>
      <c r="N97" s="17" t="str">
        <f aca="false">IF(K97="","",IF(INDEX(K97:M97,$B$5)&gt;=MAX(K97:M97),$B$4,INDEX(Pontuacao!$A$29:$A$31,MATCH(MAX(K97:M97),K97:M97,0))))</f>
        <v>Microsoft Azure</v>
      </c>
      <c r="O97" s="43" t="str">
        <f aca="false">IF(OR(N97="",N97=$B$4,ABS(I97-$B$11)&lt;0.000000001),"",ABS(I97-$B$11))</f>
        <v/>
      </c>
      <c r="Q97" s="60" t="n">
        <f aca="false">(ROW()-17)*$B$6</f>
        <v>0.4</v>
      </c>
      <c r="R97" s="43" t="n">
        <f aca="false">IFERROR(SUMPRODUCT(Normalizacao!$AL$5:$AL$17,Pesos_Indicadores!$I$5:$I$17,((Pesos_Indicadores!$B$5:$B$17=$A$12)*Q97+(Pesos_Indicadores!$B$5:$B$17&lt;&gt;$A$12)*Pesos_Indicadores!$G$5:$G$17*(1-Q97)/(1-$B$12))),0)</f>
        <v>0.930769230769231</v>
      </c>
      <c r="S97" s="60" t="n">
        <f aca="false">IF(R97=0,"",IFERROR(SUMPRODUCT(Normalizacao!$AL$5:$AL$17,Pesos_Indicadores!$I$5:$I$17,((Pesos_Indicadores!$B$5:$B$17=$A$12)*Q97+(Pesos_Indicadores!$B$5:$B$17&lt;&gt;$A$12)*Pesos_Indicadores!$G$5:$G$17*(1-Q97)/(1-$B$12)),Normalizacao!$AI$5:$AI$17)/R97,""))</f>
        <v>0.736670716946877</v>
      </c>
      <c r="T97" s="60" t="n">
        <f aca="false">IF(R97=0,"",IFERROR(SUMPRODUCT(Normalizacao!$AL$5:$AL$17,Pesos_Indicadores!$I$5:$I$17,((Pesos_Indicadores!$B$5:$B$17=$A$12)*Q97+(Pesos_Indicadores!$B$5:$B$17&lt;&gt;$A$12)*Pesos_Indicadores!$G$5:$G$17*(1-Q97)/(1-$B$12)),Normalizacao!$AJ$5:$AJ$17)/R97,""))</f>
        <v>0.81930425799497</v>
      </c>
      <c r="U97" s="60" t="n">
        <f aca="false">IF(R97=0,"",IFERROR(SUMPRODUCT(Normalizacao!$AL$5:$AL$17,Pesos_Indicadores!$I$5:$I$17,((Pesos_Indicadores!$B$5:$B$17=$A$12)*Q97+(Pesos_Indicadores!$B$5:$B$17&lt;&gt;$A$12)*Pesos_Indicadores!$G$5:$G$17*(1-Q97)/(1-$B$12)),Normalizacao!$AK$5:$AK$17)/R97,""))</f>
        <v>0.847792966280099</v>
      </c>
      <c r="V97" s="17" t="str">
        <f aca="false">IF(S97="","",IF(INDEX(S97:U97,$B$5)&gt;=MAX(S97:U97),$B$4,INDEX(Pontuacao!$A$29:$A$31,MATCH(MAX(S97:U97),S97:U97,0))))</f>
        <v>Microsoft Azure</v>
      </c>
      <c r="W97" s="43" t="str">
        <f aca="false">IF(OR(V97="",V97=$B$4,ABS(Q97-$B$12)&lt;0.000000001),"",ABS(Q97-$B$12))</f>
        <v/>
      </c>
    </row>
    <row r="98" customFormat="false" ht="15" hidden="false" customHeight="true" outlineLevel="0" collapsed="false">
      <c r="A98" s="60" t="n">
        <f aca="false">(ROW()-17)*$B$6</f>
        <v>0.405</v>
      </c>
      <c r="B98" s="43" t="n">
        <f aca="false">IFERROR(SUMPRODUCT(Normalizacao!$AL$5:$AL$17,Pesos_Indicadores!$I$5:$I$17,((Pesos_Indicadores!$B$5:$B$17=$A$10)*A98+(Pesos_Indicadores!$B$5:$B$17&lt;&gt;$A$10)*Pesos_Indicadores!$G$5:$G$17*(1-A98)/(1-$B$10))),0)</f>
        <v>0.986269230769231</v>
      </c>
      <c r="C98" s="60" t="n">
        <f aca="false">IF(B98=0,"",IFERROR(SUMPRODUCT(Normalizacao!$AL$5:$AL$17,Pesos_Indicadores!$I$5:$I$17,((Pesos_Indicadores!$B$5:$B$17=$A$10)*A98+(Pesos_Indicadores!$B$5:$B$17&lt;&gt;$A$10)*Pesos_Indicadores!$G$5:$G$17*(1-A98)/(1-$B$10)),Normalizacao!$AI$5:$AI$17)/B98,""))</f>
        <v>0.706071143105505</v>
      </c>
      <c r="D98" s="60" t="n">
        <f aca="false">IF(B98=0,"",IFERROR(SUMPRODUCT(Normalizacao!$AL$5:$AL$17,Pesos_Indicadores!$I$5:$I$17,((Pesos_Indicadores!$B$5:$B$17=$A$10)*A98+(Pesos_Indicadores!$B$5:$B$17&lt;&gt;$A$10)*Pesos_Indicadores!$G$5:$G$17*(1-A98)/(1-$B$10)),Normalizacao!$AJ$5:$AJ$17)/B98,""))</f>
        <v>0.811348910373032</v>
      </c>
      <c r="E98" s="60" t="n">
        <f aca="false">IF(B98=0,"",IFERROR(SUMPRODUCT(Normalizacao!$AL$5:$AL$17,Pesos_Indicadores!$I$5:$I$17,((Pesos_Indicadores!$B$5:$B$17=$A$10)*A98+(Pesos_Indicadores!$B$5:$B$17&lt;&gt;$A$10)*Pesos_Indicadores!$G$5:$G$17*(1-A98)/(1-$B$10)),Normalizacao!$AK$5:$AK$17)/B98,""))</f>
        <v>0.847456286595005</v>
      </c>
      <c r="F98" s="17" t="str">
        <f aca="false">IF(C98="","",IF(INDEX(C98:E98,$B$5)&gt;=MAX(C98:E98),$B$4,INDEX(Pontuacao!$A$29:$A$31,MATCH(MAX(C98:E98),C98:E98,0))))</f>
        <v>Microsoft Azure</v>
      </c>
      <c r="G98" s="43" t="str">
        <f aca="false">IF(OR(F98="",F98=$B$4,ABS(A98-$B$10)&lt;0.000000001),"",ABS(A98-$B$10))</f>
        <v/>
      </c>
      <c r="I98" s="60" t="n">
        <f aca="false">(ROW()-17)*$B$6</f>
        <v>0.405</v>
      </c>
      <c r="J98" s="43" t="n">
        <f aca="false">IFERROR(SUMPRODUCT(Normalizacao!$AL$5:$AL$17,Pesos_Indicadores!$I$5:$I$17,((Pesos_Indicadores!$B$5:$B$17=$A$11)*I98+(Pesos_Indicadores!$B$5:$B$17&lt;&gt;$A$11)*Pesos_Indicadores!$G$5:$G$17*(1-I98)/(1-$B$11))),0)</f>
        <v>0.906538461538462</v>
      </c>
      <c r="K98" s="60" t="n">
        <f aca="false">IF(J98=0,"",IFERROR(SUMPRODUCT(Normalizacao!$AL$5:$AL$17,Pesos_Indicadores!$I$5:$I$17,((Pesos_Indicadores!$B$5:$B$17=$A$11)*I98+(Pesos_Indicadores!$B$5:$B$17&lt;&gt;$A$11)*Pesos_Indicadores!$G$5:$G$17*(1-I98)/(1-$B$11)),Normalizacao!$AI$5:$AI$17)/J98,""))</f>
        <v>0.776602625559583</v>
      </c>
      <c r="L98" s="60" t="n">
        <f aca="false">IF(J98=0,"",IFERROR(SUMPRODUCT(Normalizacao!$AL$5:$AL$17,Pesos_Indicadores!$I$5:$I$17,((Pesos_Indicadores!$B$5:$B$17=$A$11)*I98+(Pesos_Indicadores!$B$5:$B$17&lt;&gt;$A$11)*Pesos_Indicadores!$G$5:$G$17*(1-I98)/(1-$B$11)),Normalizacao!$AJ$5:$AJ$17)/J98,""))</f>
        <v>0.7934296706388</v>
      </c>
      <c r="M98" s="60" t="n">
        <f aca="false">IF(J98=0,"",IFERROR(SUMPRODUCT(Normalizacao!$AL$5:$AL$17,Pesos_Indicadores!$I$5:$I$17,((Pesos_Indicadores!$B$5:$B$17=$A$11)*I98+(Pesos_Indicadores!$B$5:$B$17&lt;&gt;$A$11)*Pesos_Indicadores!$G$5:$G$17*(1-I98)/(1-$B$11)),Normalizacao!$AK$5:$AK$17)/J98,""))</f>
        <v>0.830575164405495</v>
      </c>
      <c r="N98" s="17" t="str">
        <f aca="false">IF(K98="","",IF(INDEX(K98:M98,$B$5)&gt;=MAX(K98:M98),$B$4,INDEX(Pontuacao!$A$29:$A$31,MATCH(MAX(K98:M98),K98:M98,0))))</f>
        <v>Microsoft Azure</v>
      </c>
      <c r="O98" s="43" t="str">
        <f aca="false">IF(OR(N98="",N98=$B$4,ABS(I98-$B$11)&lt;0.000000001),"",ABS(I98-$B$11))</f>
        <v/>
      </c>
      <c r="Q98" s="60" t="n">
        <f aca="false">(ROW()-17)*$B$6</f>
        <v>0.405</v>
      </c>
      <c r="R98" s="43" t="n">
        <f aca="false">IFERROR(SUMPRODUCT(Normalizacao!$AL$5:$AL$17,Pesos_Indicadores!$I$5:$I$17,((Pesos_Indicadores!$B$5:$B$17=$A$12)*Q98+(Pesos_Indicadores!$B$5:$B$17&lt;&gt;$A$12)*Pesos_Indicadores!$G$5:$G$17*(1-Q98)/(1-$B$12))),0)</f>
        <v>0.931346153846154</v>
      </c>
      <c r="S98" s="60" t="n">
        <f aca="false">IF(R98=0,"",IFERROR(SUMPRODUCT(Normalizacao!$AL$5:$AL$17,Pesos_Indicadores!$I$5:$I$17,((Pesos_Indicadores!$B$5:$B$17=$A$12)*Q98+(Pesos_Indicadores!$B$5:$B$17&lt;&gt;$A$12)*Pesos_Indicadores!$G$5:$G$17*(1-Q98)/(1-$B$12)),Normalizacao!$AI$5:$AI$17)/R98,""))</f>
        <v>0.736789982333132</v>
      </c>
      <c r="T98" s="60" t="n">
        <f aca="false">IF(R98=0,"",IFERROR(SUMPRODUCT(Normalizacao!$AL$5:$AL$17,Pesos_Indicadores!$I$5:$I$17,((Pesos_Indicadores!$B$5:$B$17=$A$12)*Q98+(Pesos_Indicadores!$B$5:$B$17&lt;&gt;$A$12)*Pesos_Indicadores!$G$5:$G$17*(1-Q98)/(1-$B$12)),Normalizacao!$AJ$5:$AJ$17)/R98,""))</f>
        <v>0.818684149691621</v>
      </c>
      <c r="U98" s="60" t="n">
        <f aca="false">IF(R98=0,"",IFERROR(SUMPRODUCT(Normalizacao!$AL$5:$AL$17,Pesos_Indicadores!$I$5:$I$17,((Pesos_Indicadores!$B$5:$B$17=$A$12)*Q98+(Pesos_Indicadores!$B$5:$B$17&lt;&gt;$A$12)*Pesos_Indicadores!$G$5:$G$17*(1-Q98)/(1-$B$12)),Normalizacao!$AK$5:$AK$17)/R98,""))</f>
        <v>0.847477178158658</v>
      </c>
      <c r="V98" s="17" t="str">
        <f aca="false">IF(S98="","",IF(INDEX(S98:U98,$B$5)&gt;=MAX(S98:U98),$B$4,INDEX(Pontuacao!$A$29:$A$31,MATCH(MAX(S98:U98),S98:U98,0))))</f>
        <v>Microsoft Azure</v>
      </c>
      <c r="W98" s="43" t="str">
        <f aca="false">IF(OR(V98="",V98=$B$4,ABS(Q98-$B$12)&lt;0.000000001),"",ABS(Q98-$B$12))</f>
        <v/>
      </c>
    </row>
    <row r="99" customFormat="false" ht="15" hidden="false" customHeight="true" outlineLevel="0" collapsed="false">
      <c r="A99" s="60" t="n">
        <f aca="false">(ROW()-17)*$B$6</f>
        <v>0.41</v>
      </c>
      <c r="B99" s="43" t="n">
        <f aca="false">IFERROR(SUMPRODUCT(Normalizacao!$AL$5:$AL$17,Pesos_Indicadores!$I$5:$I$17,((Pesos_Indicadores!$B$5:$B$17=$A$10)*A99+(Pesos_Indicadores!$B$5:$B$17&lt;&gt;$A$10)*Pesos_Indicadores!$G$5:$G$17*(1-A99)/(1-$B$10))),0)</f>
        <v>0.986384615384615</v>
      </c>
      <c r="C99" s="60" t="n">
        <f aca="false">IF(B99=0,"",IFERROR(SUMPRODUCT(Normalizacao!$AL$5:$AL$17,Pesos_Indicadores!$I$5:$I$17,((Pesos_Indicadores!$B$5:$B$17=$A$10)*A99+(Pesos_Indicadores!$B$5:$B$17&lt;&gt;$A$10)*Pesos_Indicadores!$G$5:$G$17*(1-A99)/(1-$B$10)),Normalizacao!$AI$5:$AI$17)/B99,""))</f>
        <v>0.705437736040307</v>
      </c>
      <c r="D99" s="60" t="n">
        <f aca="false">IF(B99=0,"",IFERROR(SUMPRODUCT(Normalizacao!$AL$5:$AL$17,Pesos_Indicadores!$I$5:$I$17,((Pesos_Indicadores!$B$5:$B$17=$A$10)*A99+(Pesos_Indicadores!$B$5:$B$17&lt;&gt;$A$10)*Pesos_Indicadores!$G$5:$G$17*(1-A99)/(1-$B$10)),Normalizacao!$AJ$5:$AJ$17)/B99,""))</f>
        <v>0.812002761681625</v>
      </c>
      <c r="E99" s="60" t="n">
        <f aca="false">IF(B99=0,"",IFERROR(SUMPRODUCT(Normalizacao!$AL$5:$AL$17,Pesos_Indicadores!$I$5:$I$17,((Pesos_Indicadores!$B$5:$B$17=$A$10)*A99+(Pesos_Indicadores!$B$5:$B$17&lt;&gt;$A$10)*Pesos_Indicadores!$G$5:$G$17*(1-A99)/(1-$B$10)),Normalizacao!$AK$5:$AK$17)/B99,""))</f>
        <v>0.847847948641078</v>
      </c>
      <c r="F99" s="17" t="str">
        <f aca="false">IF(C99="","",IF(INDEX(C99:E99,$B$5)&gt;=MAX(C99:E99),$B$4,INDEX(Pontuacao!$A$29:$A$31,MATCH(MAX(C99:E99),C99:E99,0))))</f>
        <v>Microsoft Azure</v>
      </c>
      <c r="G99" s="43" t="str">
        <f aca="false">IF(OR(F99="",F99=$B$4,ABS(A99-$B$10)&lt;0.000000001),"",ABS(A99-$B$10))</f>
        <v/>
      </c>
      <c r="I99" s="60" t="n">
        <f aca="false">(ROW()-17)*$B$6</f>
        <v>0.41</v>
      </c>
      <c r="J99" s="43" t="n">
        <f aca="false">IFERROR(SUMPRODUCT(Normalizacao!$AL$5:$AL$17,Pesos_Indicadores!$I$5:$I$17,((Pesos_Indicadores!$B$5:$B$17=$A$11)*I99+(Pesos_Indicadores!$B$5:$B$17&lt;&gt;$A$11)*Pesos_Indicadores!$G$5:$G$17*(1-I99)/(1-$B$11))),0)</f>
        <v>0.905384615384616</v>
      </c>
      <c r="K99" s="60" t="n">
        <f aca="false">IF(J99=0,"",IFERROR(SUMPRODUCT(Normalizacao!$AL$5:$AL$17,Pesos_Indicadores!$I$5:$I$17,((Pesos_Indicadores!$B$5:$B$17=$A$11)*I99+(Pesos_Indicadores!$B$5:$B$17&lt;&gt;$A$11)*Pesos_Indicadores!$G$5:$G$17*(1-I99)/(1-$B$11)),Normalizacao!$AI$5:$AI$17)/J99,""))</f>
        <v>0.777126656705855</v>
      </c>
      <c r="L99" s="60" t="n">
        <f aca="false">IF(J99=0,"",IFERROR(SUMPRODUCT(Normalizacao!$AL$5:$AL$17,Pesos_Indicadores!$I$5:$I$17,((Pesos_Indicadores!$B$5:$B$17=$A$11)*I99+(Pesos_Indicadores!$B$5:$B$17&lt;&gt;$A$11)*Pesos_Indicadores!$G$5:$G$17*(1-I99)/(1-$B$11)),Normalizacao!$AJ$5:$AJ$17)/J99,""))</f>
        <v>0.793833562668538</v>
      </c>
      <c r="M99" s="60" t="n">
        <f aca="false">IF(J99=0,"",IFERROR(SUMPRODUCT(Normalizacao!$AL$5:$AL$17,Pesos_Indicadores!$I$5:$I$17,((Pesos_Indicadores!$B$5:$B$17=$A$11)*I99+(Pesos_Indicadores!$B$5:$B$17&lt;&gt;$A$11)*Pesos_Indicadores!$G$5:$G$17*(1-I99)/(1-$B$11)),Normalizacao!$AK$5:$AK$17)/J99,""))</f>
        <v>0.83071128029328</v>
      </c>
      <c r="N99" s="17" t="str">
        <f aca="false">IF(K99="","",IF(INDEX(K99:M99,$B$5)&gt;=MAX(K99:M99),$B$4,INDEX(Pontuacao!$A$29:$A$31,MATCH(MAX(K99:M99),K99:M99,0))))</f>
        <v>Microsoft Azure</v>
      </c>
      <c r="O99" s="43" t="str">
        <f aca="false">IF(OR(N99="",N99=$B$4,ABS(I99-$B$11)&lt;0.000000001),"",ABS(I99-$B$11))</f>
        <v/>
      </c>
      <c r="Q99" s="60" t="n">
        <f aca="false">(ROW()-17)*$B$6</f>
        <v>0.41</v>
      </c>
      <c r="R99" s="43" t="n">
        <f aca="false">IFERROR(SUMPRODUCT(Normalizacao!$AL$5:$AL$17,Pesos_Indicadores!$I$5:$I$17,((Pesos_Indicadores!$B$5:$B$17=$A$12)*Q99+(Pesos_Indicadores!$B$5:$B$17&lt;&gt;$A$12)*Pesos_Indicadores!$G$5:$G$17*(1-Q99)/(1-$B$12))),0)</f>
        <v>0.931923076923077</v>
      </c>
      <c r="S99" s="60" t="n">
        <f aca="false">IF(R99=0,"",IFERROR(SUMPRODUCT(Normalizacao!$AL$5:$AL$17,Pesos_Indicadores!$I$5:$I$17,((Pesos_Indicadores!$B$5:$B$17=$A$12)*Q99+(Pesos_Indicadores!$B$5:$B$17&lt;&gt;$A$12)*Pesos_Indicadores!$G$5:$G$17*(1-Q99)/(1-$B$12)),Normalizacao!$AI$5:$AI$17)/R99,""))</f>
        <v>0.736909100052793</v>
      </c>
      <c r="T99" s="60" t="n">
        <f aca="false">IF(R99=0,"",IFERROR(SUMPRODUCT(Normalizacao!$AL$5:$AL$17,Pesos_Indicadores!$I$5:$I$17,((Pesos_Indicadores!$B$5:$B$17=$A$12)*Q99+(Pesos_Indicadores!$B$5:$B$17&lt;&gt;$A$12)*Pesos_Indicadores!$G$5:$G$17*(1-Q99)/(1-$B$12)),Normalizacao!$AJ$5:$AJ$17)/R99,""))</f>
        <v>0.818064809165784</v>
      </c>
      <c r="U99" s="60" t="n">
        <f aca="false">IF(R99=0,"",IFERROR(SUMPRODUCT(Normalizacao!$AL$5:$AL$17,Pesos_Indicadores!$I$5:$I$17,((Pesos_Indicadores!$B$5:$B$17=$A$12)*Q99+(Pesos_Indicadores!$B$5:$B$17&lt;&gt;$A$12)*Pesos_Indicadores!$G$5:$G$17*(1-Q99)/(1-$B$12)),Normalizacao!$AK$5:$AK$17)/R99,""))</f>
        <v>0.847161781025399</v>
      </c>
      <c r="V99" s="17" t="str">
        <f aca="false">IF(S99="","",IF(INDEX(S99:U99,$B$5)&gt;=MAX(S99:U99),$B$4,INDEX(Pontuacao!$A$29:$A$31,MATCH(MAX(S99:U99),S99:U99,0))))</f>
        <v>Microsoft Azure</v>
      </c>
      <c r="W99" s="43" t="str">
        <f aca="false">IF(OR(V99="",V99=$B$4,ABS(Q99-$B$12)&lt;0.000000001),"",ABS(Q99-$B$12))</f>
        <v/>
      </c>
    </row>
    <row r="100" customFormat="false" ht="15" hidden="false" customHeight="true" outlineLevel="0" collapsed="false">
      <c r="A100" s="60" t="n">
        <f aca="false">(ROW()-17)*$B$6</f>
        <v>0.415</v>
      </c>
      <c r="B100" s="43" t="n">
        <f aca="false">IFERROR(SUMPRODUCT(Normalizacao!$AL$5:$AL$17,Pesos_Indicadores!$I$5:$I$17,((Pesos_Indicadores!$B$5:$B$17=$A$10)*A100+(Pesos_Indicadores!$B$5:$B$17&lt;&gt;$A$10)*Pesos_Indicadores!$G$5:$G$17*(1-A100)/(1-$B$10))),0)</f>
        <v>0.9865</v>
      </c>
      <c r="C100" s="60" t="n">
        <f aca="false">IF(B100=0,"",IFERROR(SUMPRODUCT(Normalizacao!$AL$5:$AL$17,Pesos_Indicadores!$I$5:$I$17,((Pesos_Indicadores!$B$5:$B$17=$A$10)*A100+(Pesos_Indicadores!$B$5:$B$17&lt;&gt;$A$10)*Pesos_Indicadores!$G$5:$G$17*(1-A100)/(1-$B$10)),Normalizacao!$AI$5:$AI$17)/B100,""))</f>
        <v>0.70480447714628</v>
      </c>
      <c r="D100" s="60" t="n">
        <f aca="false">IF(B100=0,"",IFERROR(SUMPRODUCT(Normalizacao!$AL$5:$AL$17,Pesos_Indicadores!$I$5:$I$17,((Pesos_Indicadores!$B$5:$B$17=$A$10)*A100+(Pesos_Indicadores!$B$5:$B$17&lt;&gt;$A$10)*Pesos_Indicadores!$G$5:$G$17*(1-A100)/(1-$B$10)),Normalizacao!$AJ$5:$AJ$17)/B100,""))</f>
        <v>0.812656460036581</v>
      </c>
      <c r="E100" s="60" t="n">
        <f aca="false">IF(B100=0,"",IFERROR(SUMPRODUCT(Normalizacao!$AL$5:$AL$17,Pesos_Indicadores!$I$5:$I$17,((Pesos_Indicadores!$B$5:$B$17=$A$10)*A100+(Pesos_Indicadores!$B$5:$B$17&lt;&gt;$A$10)*Pesos_Indicadores!$G$5:$G$17*(1-A100)/(1-$B$10)),Normalizacao!$AK$5:$AK$17)/B100,""))</f>
        <v>0.848239519066726</v>
      </c>
      <c r="F100" s="17" t="str">
        <f aca="false">IF(C100="","",IF(INDEX(C100:E100,$B$5)&gt;=MAX(C100:E100),$B$4,INDEX(Pontuacao!$A$29:$A$31,MATCH(MAX(C100:E100),C100:E100,0))))</f>
        <v>Microsoft Azure</v>
      </c>
      <c r="G100" s="43" t="str">
        <f aca="false">IF(OR(F100="",F100=$B$4,ABS(A100-$B$10)&lt;0.000000001),"",ABS(A100-$B$10))</f>
        <v/>
      </c>
      <c r="I100" s="60" t="n">
        <f aca="false">(ROW()-17)*$B$6</f>
        <v>0.415</v>
      </c>
      <c r="J100" s="43" t="n">
        <f aca="false">IFERROR(SUMPRODUCT(Normalizacao!$AL$5:$AL$17,Pesos_Indicadores!$I$5:$I$17,((Pesos_Indicadores!$B$5:$B$17=$A$11)*I100+(Pesos_Indicadores!$B$5:$B$17&lt;&gt;$A$11)*Pesos_Indicadores!$G$5:$G$17*(1-I100)/(1-$B$11))),0)</f>
        <v>0.904230769230769</v>
      </c>
      <c r="K100" s="60" t="n">
        <f aca="false">IF(J100=0,"",IFERROR(SUMPRODUCT(Normalizacao!$AL$5:$AL$17,Pesos_Indicadores!$I$5:$I$17,((Pesos_Indicadores!$B$5:$B$17=$A$11)*I100+(Pesos_Indicadores!$B$5:$B$17&lt;&gt;$A$11)*Pesos_Indicadores!$G$5:$G$17*(1-I100)/(1-$B$11)),Normalizacao!$AI$5:$AI$17)/J100,""))</f>
        <v>0.777652025234892</v>
      </c>
      <c r="L100" s="60" t="n">
        <f aca="false">IF(J100=0,"",IFERROR(SUMPRODUCT(Normalizacao!$AL$5:$AL$17,Pesos_Indicadores!$I$5:$I$17,((Pesos_Indicadores!$B$5:$B$17=$A$11)*I100+(Pesos_Indicadores!$B$5:$B$17&lt;&gt;$A$11)*Pesos_Indicadores!$G$5:$G$17*(1-I100)/(1-$B$11)),Normalizacao!$AJ$5:$AJ$17)/J100,""))</f>
        <v>0.794238485473342</v>
      </c>
      <c r="M100" s="60" t="n">
        <f aca="false">IF(J100=0,"",IFERROR(SUMPRODUCT(Normalizacao!$AL$5:$AL$17,Pesos_Indicadores!$I$5:$I$17,((Pesos_Indicadores!$B$5:$B$17=$A$11)*I100+(Pesos_Indicadores!$B$5:$B$17&lt;&gt;$A$11)*Pesos_Indicadores!$G$5:$G$17*(1-I100)/(1-$B$11)),Normalizacao!$AK$5:$AK$17)/J100,""))</f>
        <v>0.83084774356317</v>
      </c>
      <c r="N100" s="17" t="str">
        <f aca="false">IF(K100="","",IF(INDEX(K100:M100,$B$5)&gt;=MAX(K100:M100),$B$4,INDEX(Pontuacao!$A$29:$A$31,MATCH(MAX(K100:M100),K100:M100,0))))</f>
        <v>Microsoft Azure</v>
      </c>
      <c r="O100" s="43" t="str">
        <f aca="false">IF(OR(N100="",N100=$B$4,ABS(I100-$B$11)&lt;0.000000001),"",ABS(I100-$B$11))</f>
        <v/>
      </c>
      <c r="Q100" s="60" t="n">
        <f aca="false">(ROW()-17)*$B$6</f>
        <v>0.415</v>
      </c>
      <c r="R100" s="43" t="n">
        <f aca="false">IFERROR(SUMPRODUCT(Normalizacao!$AL$5:$AL$17,Pesos_Indicadores!$I$5:$I$17,((Pesos_Indicadores!$B$5:$B$17=$A$12)*Q100+(Pesos_Indicadores!$B$5:$B$17&lt;&gt;$A$12)*Pesos_Indicadores!$G$5:$G$17*(1-Q100)/(1-$B$12))),0)</f>
        <v>0.9325</v>
      </c>
      <c r="S100" s="60" t="n">
        <f aca="false">IF(R100=0,"",IFERROR(SUMPRODUCT(Normalizacao!$AL$5:$AL$17,Pesos_Indicadores!$I$5:$I$17,((Pesos_Indicadores!$B$5:$B$17=$A$12)*Q100+(Pesos_Indicadores!$B$5:$B$17&lt;&gt;$A$12)*Pesos_Indicadores!$G$5:$G$17*(1-Q100)/(1-$B$12)),Normalizacao!$AI$5:$AI$17)/R100,""))</f>
        <v>0.737028070379936</v>
      </c>
      <c r="T100" s="60" t="n">
        <f aca="false">IF(R100=0,"",IFERROR(SUMPRODUCT(Normalizacao!$AL$5:$AL$17,Pesos_Indicadores!$I$5:$I$17,((Pesos_Indicadores!$B$5:$B$17=$A$12)*Q100+(Pesos_Indicadores!$B$5:$B$17&lt;&gt;$A$12)*Pesos_Indicadores!$G$5:$G$17*(1-Q100)/(1-$B$12)),Normalizacao!$AJ$5:$AJ$17)/R100,""))</f>
        <v>0.817446234992423</v>
      </c>
      <c r="U100" s="60" t="n">
        <f aca="false">IF(R100=0,"",IFERROR(SUMPRODUCT(Normalizacao!$AL$5:$AL$17,Pesos_Indicadores!$I$5:$I$17,((Pesos_Indicadores!$B$5:$B$17=$A$12)*Q100+(Pesos_Indicadores!$B$5:$B$17&lt;&gt;$A$12)*Pesos_Indicadores!$G$5:$G$17*(1-Q100)/(1-$B$12)),Normalizacao!$AK$5:$AK$17)/R100,""))</f>
        <v>0.846846774154627</v>
      </c>
      <c r="V100" s="17" t="str">
        <f aca="false">IF(S100="","",IF(INDEX(S100:U100,$B$5)&gt;=MAX(S100:U100),$B$4,INDEX(Pontuacao!$A$29:$A$31,MATCH(MAX(S100:U100),S100:U100,0))))</f>
        <v>Microsoft Azure</v>
      </c>
      <c r="W100" s="43" t="str">
        <f aca="false">IF(OR(V100="",V100=$B$4,ABS(Q100-$B$12)&lt;0.000000001),"",ABS(Q100-$B$12))</f>
        <v/>
      </c>
    </row>
    <row r="101" customFormat="false" ht="15" hidden="false" customHeight="true" outlineLevel="0" collapsed="false">
      <c r="A101" s="60" t="n">
        <f aca="false">(ROW()-17)*$B$6</f>
        <v>0.42</v>
      </c>
      <c r="B101" s="43" t="n">
        <f aca="false">IFERROR(SUMPRODUCT(Normalizacao!$AL$5:$AL$17,Pesos_Indicadores!$I$5:$I$17,((Pesos_Indicadores!$B$5:$B$17=$A$10)*A101+(Pesos_Indicadores!$B$5:$B$17&lt;&gt;$A$10)*Pesos_Indicadores!$G$5:$G$17*(1-A101)/(1-$B$10))),0)</f>
        <v>0.986615384615385</v>
      </c>
      <c r="C101" s="60" t="n">
        <f aca="false">IF(B101=0,"",IFERROR(SUMPRODUCT(Normalizacao!$AL$5:$AL$17,Pesos_Indicadores!$I$5:$I$17,((Pesos_Indicadores!$B$5:$B$17=$A$10)*A101+(Pesos_Indicadores!$B$5:$B$17&lt;&gt;$A$10)*Pesos_Indicadores!$G$5:$G$17*(1-A101)/(1-$B$10)),Normalizacao!$AI$5:$AI$17)/B101,""))</f>
        <v>0.70417136637144</v>
      </c>
      <c r="D101" s="60" t="n">
        <f aca="false">IF(B101=0,"",IFERROR(SUMPRODUCT(Normalizacao!$AL$5:$AL$17,Pesos_Indicadores!$I$5:$I$17,((Pesos_Indicadores!$B$5:$B$17=$A$10)*A101+(Pesos_Indicadores!$B$5:$B$17&lt;&gt;$A$10)*Pesos_Indicadores!$G$5:$G$17*(1-A101)/(1-$B$10)),Normalizacao!$AJ$5:$AJ$17)/B101,""))</f>
        <v>0.813310005491563</v>
      </c>
      <c r="E101" s="60" t="n">
        <f aca="false">IF(B101=0,"",IFERROR(SUMPRODUCT(Normalizacao!$AL$5:$AL$17,Pesos_Indicadores!$I$5:$I$17,((Pesos_Indicadores!$B$5:$B$17=$A$10)*A101+(Pesos_Indicadores!$B$5:$B$17&lt;&gt;$A$10)*Pesos_Indicadores!$G$5:$G$17*(1-A101)/(1-$B$10)),Normalizacao!$AK$5:$AK$17)/B101,""))</f>
        <v>0.848630997904094</v>
      </c>
      <c r="F101" s="17" t="str">
        <f aca="false">IF(C101="","",IF(INDEX(C101:E101,$B$5)&gt;=MAX(C101:E101),$B$4,INDEX(Pontuacao!$A$29:$A$31,MATCH(MAX(C101:E101),C101:E101,0))))</f>
        <v>Microsoft Azure</v>
      </c>
      <c r="G101" s="43" t="str">
        <f aca="false">IF(OR(F101="",F101=$B$4,ABS(A101-$B$10)&lt;0.000000001),"",ABS(A101-$B$10))</f>
        <v/>
      </c>
      <c r="I101" s="60" t="n">
        <f aca="false">(ROW()-17)*$B$6</f>
        <v>0.42</v>
      </c>
      <c r="J101" s="43" t="n">
        <f aca="false">IFERROR(SUMPRODUCT(Normalizacao!$AL$5:$AL$17,Pesos_Indicadores!$I$5:$I$17,((Pesos_Indicadores!$B$5:$B$17=$A$11)*I101+(Pesos_Indicadores!$B$5:$B$17&lt;&gt;$A$11)*Pesos_Indicadores!$G$5:$G$17*(1-I101)/(1-$B$11))),0)</f>
        <v>0.903076923076923</v>
      </c>
      <c r="K101" s="60" t="n">
        <f aca="false">IF(J101=0,"",IFERROR(SUMPRODUCT(Normalizacao!$AL$5:$AL$17,Pesos_Indicadores!$I$5:$I$17,((Pesos_Indicadores!$B$5:$B$17=$A$11)*I101+(Pesos_Indicadores!$B$5:$B$17&lt;&gt;$A$11)*Pesos_Indicadores!$G$5:$G$17*(1-I101)/(1-$B$11)),Normalizacao!$AI$5:$AI$17)/J101,""))</f>
        <v>0.778178736272947</v>
      </c>
      <c r="L101" s="60" t="n">
        <f aca="false">IF(J101=0,"",IFERROR(SUMPRODUCT(Normalizacao!$AL$5:$AL$17,Pesos_Indicadores!$I$5:$I$17,((Pesos_Indicadores!$B$5:$B$17=$A$11)*I101+(Pesos_Indicadores!$B$5:$B$17&lt;&gt;$A$11)*Pesos_Indicadores!$G$5:$G$17*(1-I101)/(1-$B$11)),Normalizacao!$AJ$5:$AJ$17)/J101,""))</f>
        <v>0.794644443004222</v>
      </c>
      <c r="M101" s="60" t="n">
        <f aca="false">IF(J101=0,"",IFERROR(SUMPRODUCT(Normalizacao!$AL$5:$AL$17,Pesos_Indicadores!$I$5:$I$17,((Pesos_Indicadores!$B$5:$B$17=$A$11)*I101+(Pesos_Indicadores!$B$5:$B$17&lt;&gt;$A$11)*Pesos_Indicadores!$G$5:$G$17*(1-I101)/(1-$B$11)),Normalizacao!$AK$5:$AK$17)/J101,""))</f>
        <v>0.830984555546696</v>
      </c>
      <c r="N101" s="17" t="str">
        <f aca="false">IF(K101="","",IF(INDEX(K101:M101,$B$5)&gt;=MAX(K101:M101),$B$4,INDEX(Pontuacao!$A$29:$A$31,MATCH(MAX(K101:M101),K101:M101,0))))</f>
        <v>Microsoft Azure</v>
      </c>
      <c r="O101" s="43" t="str">
        <f aca="false">IF(OR(N101="",N101=$B$4,ABS(I101-$B$11)&lt;0.000000001),"",ABS(I101-$B$11))</f>
        <v/>
      </c>
      <c r="Q101" s="60" t="n">
        <f aca="false">(ROW()-17)*$B$6</f>
        <v>0.42</v>
      </c>
      <c r="R101" s="43" t="n">
        <f aca="false">IFERROR(SUMPRODUCT(Normalizacao!$AL$5:$AL$17,Pesos_Indicadores!$I$5:$I$17,((Pesos_Indicadores!$B$5:$B$17=$A$12)*Q101+(Pesos_Indicadores!$B$5:$B$17&lt;&gt;$A$12)*Pesos_Indicadores!$G$5:$G$17*(1-Q101)/(1-$B$12))),0)</f>
        <v>0.933076923076923</v>
      </c>
      <c r="S101" s="60" t="n">
        <f aca="false">IF(R101=0,"",IFERROR(SUMPRODUCT(Normalizacao!$AL$5:$AL$17,Pesos_Indicadores!$I$5:$I$17,((Pesos_Indicadores!$B$5:$B$17=$A$12)*Q101+(Pesos_Indicadores!$B$5:$B$17&lt;&gt;$A$12)*Pesos_Indicadores!$G$5:$G$17*(1-Q101)/(1-$B$12)),Normalizacao!$AI$5:$AI$17)/R101,""))</f>
        <v>0.737146893587961</v>
      </c>
      <c r="T101" s="60" t="n">
        <f aca="false">IF(R101=0,"",IFERROR(SUMPRODUCT(Normalizacao!$AL$5:$AL$17,Pesos_Indicadores!$I$5:$I$17,((Pesos_Indicadores!$B$5:$B$17=$A$12)*Q101+(Pesos_Indicadores!$B$5:$B$17&lt;&gt;$A$12)*Pesos_Indicadores!$G$5:$G$17*(1-Q101)/(1-$B$12)),Normalizacao!$AJ$5:$AJ$17)/R101,""))</f>
        <v>0.816828425750027</v>
      </c>
      <c r="U101" s="60" t="n">
        <f aca="false">IF(R101=0,"",IFERROR(SUMPRODUCT(Normalizacao!$AL$5:$AL$17,Pesos_Indicadores!$I$5:$I$17,((Pesos_Indicadores!$B$5:$B$17=$A$12)*Q101+(Pesos_Indicadores!$B$5:$B$17&lt;&gt;$A$12)*Pesos_Indicadores!$G$5:$G$17*(1-Q101)/(1-$B$12)),Normalizacao!$AK$5:$AK$17)/R101,""))</f>
        <v>0.846532156822442</v>
      </c>
      <c r="V101" s="17" t="str">
        <f aca="false">IF(S101="","",IF(INDEX(S101:U101,$B$5)&gt;=MAX(S101:U101),$B$4,INDEX(Pontuacao!$A$29:$A$31,MATCH(MAX(S101:U101),S101:U101,0))))</f>
        <v>Microsoft Azure</v>
      </c>
      <c r="W101" s="43" t="str">
        <f aca="false">IF(OR(V101="",V101=$B$4,ABS(Q101-$B$12)&lt;0.000000001),"",ABS(Q101-$B$12))</f>
        <v/>
      </c>
    </row>
    <row r="102" customFormat="false" ht="15" hidden="false" customHeight="true" outlineLevel="0" collapsed="false">
      <c r="A102" s="60" t="n">
        <f aca="false">(ROW()-17)*$B$6</f>
        <v>0.425</v>
      </c>
      <c r="B102" s="43" t="n">
        <f aca="false">IFERROR(SUMPRODUCT(Normalizacao!$AL$5:$AL$17,Pesos_Indicadores!$I$5:$I$17,((Pesos_Indicadores!$B$5:$B$17=$A$10)*A102+(Pesos_Indicadores!$B$5:$B$17&lt;&gt;$A$10)*Pesos_Indicadores!$G$5:$G$17*(1-A102)/(1-$B$10))),0)</f>
        <v>0.986730769230769</v>
      </c>
      <c r="C102" s="60" t="n">
        <f aca="false">IF(B102=0,"",IFERROR(SUMPRODUCT(Normalizacao!$AL$5:$AL$17,Pesos_Indicadores!$I$5:$I$17,((Pesos_Indicadores!$B$5:$B$17=$A$10)*A102+(Pesos_Indicadores!$B$5:$B$17&lt;&gt;$A$10)*Pesos_Indicadores!$G$5:$G$17*(1-A102)/(1-$B$10)),Normalizacao!$AI$5:$AI$17)/B102,""))</f>
        <v>0.703538403663825</v>
      </c>
      <c r="D102" s="60" t="n">
        <f aca="false">IF(B102=0,"",IFERROR(SUMPRODUCT(Normalizacao!$AL$5:$AL$17,Pesos_Indicadores!$I$5:$I$17,((Pesos_Indicadores!$B$5:$B$17=$A$10)*A102+(Pesos_Indicadores!$B$5:$B$17&lt;&gt;$A$10)*Pesos_Indicadores!$G$5:$G$17*(1-A102)/(1-$B$10)),Normalizacao!$AJ$5:$AJ$17)/B102,""))</f>
        <v>0.813963398100209</v>
      </c>
      <c r="E102" s="60" t="n">
        <f aca="false">IF(B102=0,"",IFERROR(SUMPRODUCT(Normalizacao!$AL$5:$AL$17,Pesos_Indicadores!$I$5:$I$17,((Pesos_Indicadores!$B$5:$B$17=$A$10)*A102+(Pesos_Indicadores!$B$5:$B$17&lt;&gt;$A$10)*Pesos_Indicadores!$G$5:$G$17*(1-A102)/(1-$B$10)),Normalizacao!$AK$5:$AK$17)/B102,""))</f>
        <v>0.849022385185313</v>
      </c>
      <c r="F102" s="17" t="str">
        <f aca="false">IF(C102="","",IF(INDEX(C102:E102,$B$5)&gt;=MAX(C102:E102),$B$4,INDEX(Pontuacao!$A$29:$A$31,MATCH(MAX(C102:E102),C102:E102,0))))</f>
        <v>Microsoft Azure</v>
      </c>
      <c r="G102" s="43" t="str">
        <f aca="false">IF(OR(F102="",F102=$B$4,ABS(A102-$B$10)&lt;0.000000001),"",ABS(A102-$B$10))</f>
        <v/>
      </c>
      <c r="I102" s="60" t="n">
        <f aca="false">(ROW()-17)*$B$6</f>
        <v>0.425</v>
      </c>
      <c r="J102" s="43" t="n">
        <f aca="false">IFERROR(SUMPRODUCT(Normalizacao!$AL$5:$AL$17,Pesos_Indicadores!$I$5:$I$17,((Pesos_Indicadores!$B$5:$B$17=$A$11)*I102+(Pesos_Indicadores!$B$5:$B$17&lt;&gt;$A$11)*Pesos_Indicadores!$G$5:$G$17*(1-I102)/(1-$B$11))),0)</f>
        <v>0.901923076923077</v>
      </c>
      <c r="K102" s="60" t="n">
        <f aca="false">IF(J102=0,"",IFERROR(SUMPRODUCT(Normalizacao!$AL$5:$AL$17,Pesos_Indicadores!$I$5:$I$17,((Pesos_Indicadores!$B$5:$B$17=$A$11)*I102+(Pesos_Indicadores!$B$5:$B$17&lt;&gt;$A$11)*Pesos_Indicadores!$G$5:$G$17*(1-I102)/(1-$B$11)),Normalizacao!$AI$5:$AI$17)/J102,""))</f>
        <v>0.778706794972506</v>
      </c>
      <c r="L102" s="60" t="n">
        <f aca="false">IF(J102=0,"",IFERROR(SUMPRODUCT(Normalizacao!$AL$5:$AL$17,Pesos_Indicadores!$I$5:$I$17,((Pesos_Indicadores!$B$5:$B$17=$A$11)*I102+(Pesos_Indicadores!$B$5:$B$17&lt;&gt;$A$11)*Pesos_Indicadores!$G$5:$G$17*(1-I102)/(1-$B$11)),Normalizacao!$AJ$5:$AJ$17)/J102,""))</f>
        <v>0.795051439232409</v>
      </c>
      <c r="M102" s="60" t="n">
        <f aca="false">IF(J102=0,"",IFERROR(SUMPRODUCT(Normalizacao!$AL$5:$AL$17,Pesos_Indicadores!$I$5:$I$17,((Pesos_Indicadores!$B$5:$B$17=$A$11)*I102+(Pesos_Indicadores!$B$5:$B$17&lt;&gt;$A$11)*Pesos_Indicadores!$G$5:$G$17*(1-I102)/(1-$B$11)),Normalizacao!$AK$5:$AK$17)/J102,""))</f>
        <v>0.831121717582206</v>
      </c>
      <c r="N102" s="17" t="str">
        <f aca="false">IF(K102="","",IF(INDEX(K102:M102,$B$5)&gt;=MAX(K102:M102),$B$4,INDEX(Pontuacao!$A$29:$A$31,MATCH(MAX(K102:M102),K102:M102,0))))</f>
        <v>Microsoft Azure</v>
      </c>
      <c r="O102" s="43" t="str">
        <f aca="false">IF(OR(N102="",N102=$B$4,ABS(I102-$B$11)&lt;0.000000001),"",ABS(I102-$B$11))</f>
        <v/>
      </c>
      <c r="Q102" s="60" t="n">
        <f aca="false">(ROW()-17)*$B$6</f>
        <v>0.425</v>
      </c>
      <c r="R102" s="43" t="n">
        <f aca="false">IFERROR(SUMPRODUCT(Normalizacao!$AL$5:$AL$17,Pesos_Indicadores!$I$5:$I$17,((Pesos_Indicadores!$B$5:$B$17=$A$12)*Q102+(Pesos_Indicadores!$B$5:$B$17&lt;&gt;$A$12)*Pesos_Indicadores!$G$5:$G$17*(1-Q102)/(1-$B$12))),0)</f>
        <v>0.933653846153846</v>
      </c>
      <c r="S102" s="60" t="n">
        <f aca="false">IF(R102=0,"",IFERROR(SUMPRODUCT(Normalizacao!$AL$5:$AL$17,Pesos_Indicadores!$I$5:$I$17,((Pesos_Indicadores!$B$5:$B$17=$A$12)*Q102+(Pesos_Indicadores!$B$5:$B$17&lt;&gt;$A$12)*Pesos_Indicadores!$G$5:$G$17*(1-Q102)/(1-$B$12)),Normalizacao!$AI$5:$AI$17)/R102,""))</f>
        <v>0.737265569949591</v>
      </c>
      <c r="T102" s="60" t="n">
        <f aca="false">IF(R102=0,"",IFERROR(SUMPRODUCT(Normalizacao!$AL$5:$AL$17,Pesos_Indicadores!$I$5:$I$17,((Pesos_Indicadores!$B$5:$B$17=$A$12)*Q102+(Pesos_Indicadores!$B$5:$B$17&lt;&gt;$A$12)*Pesos_Indicadores!$G$5:$G$17*(1-Q102)/(1-$B$12)),Normalizacao!$AJ$5:$AJ$17)/R102,""))</f>
        <v>0.816211380020597</v>
      </c>
      <c r="U102" s="60" t="n">
        <f aca="false">IF(R102=0,"",IFERROR(SUMPRODUCT(Normalizacao!$AL$5:$AL$17,Pesos_Indicadores!$I$5:$I$17,((Pesos_Indicadores!$B$5:$B$17=$A$12)*Q102+(Pesos_Indicadores!$B$5:$B$17&lt;&gt;$A$12)*Pesos_Indicadores!$G$5:$G$17*(1-Q102)/(1-$B$12)),Normalizacao!$AK$5:$AK$17)/R102,""))</f>
        <v>0.846217928306734</v>
      </c>
      <c r="V102" s="17" t="str">
        <f aca="false">IF(S102="","",IF(INDEX(S102:U102,$B$5)&gt;=MAX(S102:U102),$B$4,INDEX(Pontuacao!$A$29:$A$31,MATCH(MAX(S102:U102),S102:U102,0))))</f>
        <v>Microsoft Azure</v>
      </c>
      <c r="W102" s="43" t="str">
        <f aca="false">IF(OR(V102="",V102=$B$4,ABS(Q102-$B$12)&lt;0.000000001),"",ABS(Q102-$B$12))</f>
        <v/>
      </c>
    </row>
    <row r="103" customFormat="false" ht="15" hidden="false" customHeight="true" outlineLevel="0" collapsed="false">
      <c r="A103" s="60" t="n">
        <f aca="false">(ROW()-17)*$B$6</f>
        <v>0.43</v>
      </c>
      <c r="B103" s="43" t="n">
        <f aca="false">IFERROR(SUMPRODUCT(Normalizacao!$AL$5:$AL$17,Pesos_Indicadores!$I$5:$I$17,((Pesos_Indicadores!$B$5:$B$17=$A$10)*A103+(Pesos_Indicadores!$B$5:$B$17&lt;&gt;$A$10)*Pesos_Indicadores!$G$5:$G$17*(1-A103)/(1-$B$10))),0)</f>
        <v>0.986846153846154</v>
      </c>
      <c r="C103" s="60" t="n">
        <f aca="false">IF(B103=0,"",IFERROR(SUMPRODUCT(Normalizacao!$AL$5:$AL$17,Pesos_Indicadores!$I$5:$I$17,((Pesos_Indicadores!$B$5:$B$17=$A$10)*A103+(Pesos_Indicadores!$B$5:$B$17&lt;&gt;$A$10)*Pesos_Indicadores!$G$5:$G$17*(1-A103)/(1-$B$10)),Normalizacao!$AI$5:$AI$17)/B103,""))</f>
        <v>0.702905588971497</v>
      </c>
      <c r="D103" s="60" t="n">
        <f aca="false">IF(B103=0,"",IFERROR(SUMPRODUCT(Normalizacao!$AL$5:$AL$17,Pesos_Indicadores!$I$5:$I$17,((Pesos_Indicadores!$B$5:$B$17=$A$10)*A103+(Pesos_Indicadores!$B$5:$B$17&lt;&gt;$A$10)*Pesos_Indicadores!$G$5:$G$17*(1-A103)/(1-$B$10)),Normalizacao!$AJ$5:$AJ$17)/B103,""))</f>
        <v>0.814616637916134</v>
      </c>
      <c r="E103" s="60" t="n">
        <f aca="false">IF(B103=0,"",IFERROR(SUMPRODUCT(Normalizacao!$AL$5:$AL$17,Pesos_Indicadores!$I$5:$I$17,((Pesos_Indicadores!$B$5:$B$17=$A$10)*A103+(Pesos_Indicadores!$B$5:$B$17&lt;&gt;$A$10)*Pesos_Indicadores!$G$5:$G$17*(1-A103)/(1-$B$10)),Normalizacao!$AK$5:$AK$17)/B103,""))</f>
        <v>0.849413680942496</v>
      </c>
      <c r="F103" s="17" t="str">
        <f aca="false">IF(C103="","",IF(INDEX(C103:E103,$B$5)&gt;=MAX(C103:E103),$B$4,INDEX(Pontuacao!$A$29:$A$31,MATCH(MAX(C103:E103),C103:E103,0))))</f>
        <v>Microsoft Azure</v>
      </c>
      <c r="G103" s="43" t="str">
        <f aca="false">IF(OR(F103="",F103=$B$4,ABS(A103-$B$10)&lt;0.000000001),"",ABS(A103-$B$10))</f>
        <v/>
      </c>
      <c r="I103" s="60" t="n">
        <f aca="false">(ROW()-17)*$B$6</f>
        <v>0.43</v>
      </c>
      <c r="J103" s="43" t="n">
        <f aca="false">IFERROR(SUMPRODUCT(Normalizacao!$AL$5:$AL$17,Pesos_Indicadores!$I$5:$I$17,((Pesos_Indicadores!$B$5:$B$17=$A$11)*I103+(Pesos_Indicadores!$B$5:$B$17&lt;&gt;$A$11)*Pesos_Indicadores!$G$5:$G$17*(1-I103)/(1-$B$11))),0)</f>
        <v>0.900769230769231</v>
      </c>
      <c r="K103" s="60" t="n">
        <f aca="false">IF(J103=0,"",IFERROR(SUMPRODUCT(Normalizacao!$AL$5:$AL$17,Pesos_Indicadores!$I$5:$I$17,((Pesos_Indicadores!$B$5:$B$17=$A$11)*I103+(Pesos_Indicadores!$B$5:$B$17&lt;&gt;$A$11)*Pesos_Indicadores!$G$5:$G$17*(1-I103)/(1-$B$11)),Normalizacao!$AI$5:$AI$17)/J103,""))</f>
        <v>0.779236206512457</v>
      </c>
      <c r="L103" s="60" t="n">
        <f aca="false">IF(J103=0,"",IFERROR(SUMPRODUCT(Normalizacao!$AL$5:$AL$17,Pesos_Indicadores!$I$5:$I$17,((Pesos_Indicadores!$B$5:$B$17=$A$11)*I103+(Pesos_Indicadores!$B$5:$B$17&lt;&gt;$A$11)*Pesos_Indicadores!$G$5:$G$17*(1-I103)/(1-$B$11)),Normalizacao!$AJ$5:$AJ$17)/J103,""))</f>
        <v>0.795459478149482</v>
      </c>
      <c r="M103" s="60" t="n">
        <f aca="false">IF(J103=0,"",IFERROR(SUMPRODUCT(Normalizacao!$AL$5:$AL$17,Pesos_Indicadores!$I$5:$I$17,((Pesos_Indicadores!$B$5:$B$17=$A$11)*I103+(Pesos_Indicadores!$B$5:$B$17&lt;&gt;$A$11)*Pesos_Indicadores!$G$5:$G$17*(1-I103)/(1-$B$11)),Normalizacao!$AK$5:$AK$17)/J103,""))</f>
        <v>0.831259231014903</v>
      </c>
      <c r="N103" s="17" t="str">
        <f aca="false">IF(K103="","",IF(INDEX(K103:M103,$B$5)&gt;=MAX(K103:M103),$B$4,INDEX(Pontuacao!$A$29:$A$31,MATCH(MAX(K103:M103),K103:M103,0))))</f>
        <v>Microsoft Azure</v>
      </c>
      <c r="O103" s="43" t="str">
        <f aca="false">IF(OR(N103="",N103=$B$4,ABS(I103-$B$11)&lt;0.000000001),"",ABS(I103-$B$11))</f>
        <v/>
      </c>
      <c r="Q103" s="60" t="n">
        <f aca="false">(ROW()-17)*$B$6</f>
        <v>0.43</v>
      </c>
      <c r="R103" s="43" t="n">
        <f aca="false">IFERROR(SUMPRODUCT(Normalizacao!$AL$5:$AL$17,Pesos_Indicadores!$I$5:$I$17,((Pesos_Indicadores!$B$5:$B$17=$A$12)*Q103+(Pesos_Indicadores!$B$5:$B$17&lt;&gt;$A$12)*Pesos_Indicadores!$G$5:$G$17*(1-Q103)/(1-$B$12))),0)</f>
        <v>0.934230769230769</v>
      </c>
      <c r="S103" s="60" t="n">
        <f aca="false">IF(R103=0,"",IFERROR(SUMPRODUCT(Normalizacao!$AL$5:$AL$17,Pesos_Indicadores!$I$5:$I$17,((Pesos_Indicadores!$B$5:$B$17=$A$12)*Q103+(Pesos_Indicadores!$B$5:$B$17&lt;&gt;$A$12)*Pesos_Indicadores!$G$5:$G$17*(1-Q103)/(1-$B$12)),Normalizacao!$AI$5:$AI$17)/R103,""))</f>
        <v>0.737384099736875</v>
      </c>
      <c r="T103" s="60" t="n">
        <f aca="false">IF(R103=0,"",IFERROR(SUMPRODUCT(Normalizacao!$AL$5:$AL$17,Pesos_Indicadores!$I$5:$I$17,((Pesos_Indicadores!$B$5:$B$17=$A$12)*Q103+(Pesos_Indicadores!$B$5:$B$17&lt;&gt;$A$12)*Pesos_Indicadores!$G$5:$G$17*(1-Q103)/(1-$B$12)),Normalizacao!$AJ$5:$AJ$17)/R103,""))</f>
        <v>0.81559509638964</v>
      </c>
      <c r="U103" s="60" t="n">
        <f aca="false">IF(R103=0,"",IFERROR(SUMPRODUCT(Normalizacao!$AL$5:$AL$17,Pesos_Indicadores!$I$5:$I$17,((Pesos_Indicadores!$B$5:$B$17=$A$12)*Q103+(Pesos_Indicadores!$B$5:$B$17&lt;&gt;$A$12)*Pesos_Indicadores!$G$5:$G$17*(1-Q103)/(1-$B$12)),Normalizacao!$AK$5:$AK$17)/R103,""))</f>
        <v>0.845904087887175</v>
      </c>
      <c r="V103" s="17" t="str">
        <f aca="false">IF(S103="","",IF(INDEX(S103:U103,$B$5)&gt;=MAX(S103:U103),$B$4,INDEX(Pontuacao!$A$29:$A$31,MATCH(MAX(S103:U103),S103:U103,0))))</f>
        <v>Microsoft Azure</v>
      </c>
      <c r="W103" s="43" t="str">
        <f aca="false">IF(OR(V103="",V103=$B$4,ABS(Q103-$B$12)&lt;0.000000001),"",ABS(Q103-$B$12))</f>
        <v/>
      </c>
    </row>
    <row r="104" customFormat="false" ht="15" hidden="false" customHeight="true" outlineLevel="0" collapsed="false">
      <c r="A104" s="60" t="n">
        <f aca="false">(ROW()-17)*$B$6</f>
        <v>0.435</v>
      </c>
      <c r="B104" s="43" t="n">
        <f aca="false">IFERROR(SUMPRODUCT(Normalizacao!$AL$5:$AL$17,Pesos_Indicadores!$I$5:$I$17,((Pesos_Indicadores!$B$5:$B$17=$A$10)*A104+(Pesos_Indicadores!$B$5:$B$17&lt;&gt;$A$10)*Pesos_Indicadores!$G$5:$G$17*(1-A104)/(1-$B$10))),0)</f>
        <v>0.986961538461539</v>
      </c>
      <c r="C104" s="60" t="n">
        <f aca="false">IF(B104=0,"",IFERROR(SUMPRODUCT(Normalizacao!$AL$5:$AL$17,Pesos_Indicadores!$I$5:$I$17,((Pesos_Indicadores!$B$5:$B$17=$A$10)*A104+(Pesos_Indicadores!$B$5:$B$17&lt;&gt;$A$10)*Pesos_Indicadores!$G$5:$G$17*(1-A104)/(1-$B$10)),Normalizacao!$AI$5:$AI$17)/B104,""))</f>
        <v>0.702272922242543</v>
      </c>
      <c r="D104" s="60" t="n">
        <f aca="false">IF(B104=0,"",IFERROR(SUMPRODUCT(Normalizacao!$AL$5:$AL$17,Pesos_Indicadores!$I$5:$I$17,((Pesos_Indicadores!$B$5:$B$17=$A$10)*A104+(Pesos_Indicadores!$B$5:$B$17&lt;&gt;$A$10)*Pesos_Indicadores!$G$5:$G$17*(1-A104)/(1-$B$10)),Normalizacao!$AJ$5:$AJ$17)/B104,""))</f>
        <v>0.815269724992926</v>
      </c>
      <c r="E104" s="60" t="n">
        <f aca="false">IF(B104=0,"",IFERROR(SUMPRODUCT(Normalizacao!$AL$5:$AL$17,Pesos_Indicadores!$I$5:$I$17,((Pesos_Indicadores!$B$5:$B$17=$A$10)*A104+(Pesos_Indicadores!$B$5:$B$17&lt;&gt;$A$10)*Pesos_Indicadores!$G$5:$G$17*(1-A104)/(1-$B$10)),Normalizacao!$AK$5:$AK$17)/B104,""))</f>
        <v>0.849804885207744</v>
      </c>
      <c r="F104" s="17" t="str">
        <f aca="false">IF(C104="","",IF(INDEX(C104:E104,$B$5)&gt;=MAX(C104:E104),$B$4,INDEX(Pontuacao!$A$29:$A$31,MATCH(MAX(C104:E104),C104:E104,0))))</f>
        <v>Microsoft Azure</v>
      </c>
      <c r="G104" s="43" t="str">
        <f aca="false">IF(OR(F104="",F104=$B$4,ABS(A104-$B$10)&lt;0.000000001),"",ABS(A104-$B$10))</f>
        <v/>
      </c>
      <c r="I104" s="60" t="n">
        <f aca="false">(ROW()-17)*$B$6</f>
        <v>0.435</v>
      </c>
      <c r="J104" s="43" t="n">
        <f aca="false">IFERROR(SUMPRODUCT(Normalizacao!$AL$5:$AL$17,Pesos_Indicadores!$I$5:$I$17,((Pesos_Indicadores!$B$5:$B$17=$A$11)*I104+(Pesos_Indicadores!$B$5:$B$17&lt;&gt;$A$11)*Pesos_Indicadores!$G$5:$G$17*(1-I104)/(1-$B$11))),0)</f>
        <v>0.899615384615385</v>
      </c>
      <c r="K104" s="60" t="n">
        <f aca="false">IF(J104=0,"",IFERROR(SUMPRODUCT(Normalizacao!$AL$5:$AL$17,Pesos_Indicadores!$I$5:$I$17,((Pesos_Indicadores!$B$5:$B$17=$A$11)*I104+(Pesos_Indicadores!$B$5:$B$17&lt;&gt;$A$11)*Pesos_Indicadores!$G$5:$G$17*(1-I104)/(1-$B$11)),Normalizacao!$AI$5:$AI$17)/J104,""))</f>
        <v>0.779766976098256</v>
      </c>
      <c r="L104" s="60" t="n">
        <f aca="false">IF(J104=0,"",IFERROR(SUMPRODUCT(Normalizacao!$AL$5:$AL$17,Pesos_Indicadores!$I$5:$I$17,((Pesos_Indicadores!$B$5:$B$17=$A$11)*I104+(Pesos_Indicadores!$B$5:$B$17&lt;&gt;$A$11)*Pesos_Indicadores!$G$5:$G$17*(1-I104)/(1-$B$11)),Normalizacao!$AJ$5:$AJ$17)/J104,""))</f>
        <v>0.795868563767496</v>
      </c>
      <c r="M104" s="60" t="n">
        <f aca="false">IF(J104=0,"",IFERROR(SUMPRODUCT(Normalizacao!$AL$5:$AL$17,Pesos_Indicadores!$I$5:$I$17,((Pesos_Indicadores!$B$5:$B$17=$A$11)*I104+(Pesos_Indicadores!$B$5:$B$17&lt;&gt;$A$11)*Pesos_Indicadores!$G$5:$G$17*(1-I104)/(1-$B$11)),Normalizacao!$AK$5:$AK$17)/J104,""))</f>
        <v>0.831397097196894</v>
      </c>
      <c r="N104" s="17" t="str">
        <f aca="false">IF(K104="","",IF(INDEX(K104:M104,$B$5)&gt;=MAX(K104:M104),$B$4,INDEX(Pontuacao!$A$29:$A$31,MATCH(MAX(K104:M104),K104:M104,0))))</f>
        <v>Microsoft Azure</v>
      </c>
      <c r="O104" s="43" t="str">
        <f aca="false">IF(OR(N104="",N104=$B$4,ABS(I104-$B$11)&lt;0.000000001),"",ABS(I104-$B$11))</f>
        <v/>
      </c>
      <c r="Q104" s="60" t="n">
        <f aca="false">(ROW()-17)*$B$6</f>
        <v>0.435</v>
      </c>
      <c r="R104" s="43" t="n">
        <f aca="false">IFERROR(SUMPRODUCT(Normalizacao!$AL$5:$AL$17,Pesos_Indicadores!$I$5:$I$17,((Pesos_Indicadores!$B$5:$B$17=$A$12)*Q104+(Pesos_Indicadores!$B$5:$B$17&lt;&gt;$A$12)*Pesos_Indicadores!$G$5:$G$17*(1-Q104)/(1-$B$12))),0)</f>
        <v>0.934807692307692</v>
      </c>
      <c r="S104" s="60" t="n">
        <f aca="false">IF(R104=0,"",IFERROR(SUMPRODUCT(Normalizacao!$AL$5:$AL$17,Pesos_Indicadores!$I$5:$I$17,((Pesos_Indicadores!$B$5:$B$17=$A$12)*Q104+(Pesos_Indicadores!$B$5:$B$17&lt;&gt;$A$12)*Pesos_Indicadores!$G$5:$G$17*(1-Q104)/(1-$B$12)),Normalizacao!$AI$5:$AI$17)/R104,""))</f>
        <v>0.737502483221192</v>
      </c>
      <c r="T104" s="60" t="n">
        <f aca="false">IF(R104=0,"",IFERROR(SUMPRODUCT(Normalizacao!$AL$5:$AL$17,Pesos_Indicadores!$I$5:$I$17,((Pesos_Indicadores!$B$5:$B$17=$A$12)*Q104+(Pesos_Indicadores!$B$5:$B$17&lt;&gt;$A$12)*Pesos_Indicadores!$G$5:$G$17*(1-Q104)/(1-$B$12)),Normalizacao!$AJ$5:$AJ$17)/R104,""))</f>
        <v>0.814979573446151</v>
      </c>
      <c r="U104" s="60" t="n">
        <f aca="false">IF(R104=0,"",IFERROR(SUMPRODUCT(Normalizacao!$AL$5:$AL$17,Pesos_Indicadores!$I$5:$I$17,((Pesos_Indicadores!$B$5:$B$17=$A$12)*Q104+(Pesos_Indicadores!$B$5:$B$17&lt;&gt;$A$12)*Pesos_Indicadores!$G$5:$G$17*(1-Q104)/(1-$B$12)),Normalizacao!$AK$5:$AK$17)/R104,""))</f>
        <v>0.845590634845217</v>
      </c>
      <c r="V104" s="17" t="str">
        <f aca="false">IF(S104="","",IF(INDEX(S104:U104,$B$5)&gt;=MAX(S104:U104),$B$4,INDEX(Pontuacao!$A$29:$A$31,MATCH(MAX(S104:U104),S104:U104,0))))</f>
        <v>Microsoft Azure</v>
      </c>
      <c r="W104" s="43" t="str">
        <f aca="false">IF(OR(V104="",V104=$B$4,ABS(Q104-$B$12)&lt;0.000000001),"",ABS(Q104-$B$12))</f>
        <v/>
      </c>
    </row>
    <row r="105" customFormat="false" ht="15" hidden="false" customHeight="true" outlineLevel="0" collapsed="false">
      <c r="A105" s="60" t="n">
        <f aca="false">(ROW()-17)*$B$6</f>
        <v>0.44</v>
      </c>
      <c r="B105" s="43" t="n">
        <f aca="false">IFERROR(SUMPRODUCT(Normalizacao!$AL$5:$AL$17,Pesos_Indicadores!$I$5:$I$17,((Pesos_Indicadores!$B$5:$B$17=$A$10)*A105+(Pesos_Indicadores!$B$5:$B$17&lt;&gt;$A$10)*Pesos_Indicadores!$G$5:$G$17*(1-A105)/(1-$B$10))),0)</f>
        <v>0.987076923076923</v>
      </c>
      <c r="C105" s="60" t="n">
        <f aca="false">IF(B105=0,"",IFERROR(SUMPRODUCT(Normalizacao!$AL$5:$AL$17,Pesos_Indicadores!$I$5:$I$17,((Pesos_Indicadores!$B$5:$B$17=$A$10)*A105+(Pesos_Indicadores!$B$5:$B$17&lt;&gt;$A$10)*Pesos_Indicadores!$G$5:$G$17*(1-A105)/(1-$B$10)),Normalizacao!$AI$5:$AI$17)/B105,""))</f>
        <v>0.701640403425076</v>
      </c>
      <c r="D105" s="60" t="n">
        <f aca="false">IF(B105=0,"",IFERROR(SUMPRODUCT(Normalizacao!$AL$5:$AL$17,Pesos_Indicadores!$I$5:$I$17,((Pesos_Indicadores!$B$5:$B$17=$A$10)*A105+(Pesos_Indicadores!$B$5:$B$17&lt;&gt;$A$10)*Pesos_Indicadores!$G$5:$G$17*(1-A105)/(1-$B$10)),Normalizacao!$AJ$5:$AJ$17)/B105,""))</f>
        <v>0.815922659384148</v>
      </c>
      <c r="E105" s="60" t="n">
        <f aca="false">IF(B105=0,"",IFERROR(SUMPRODUCT(Normalizacao!$AL$5:$AL$17,Pesos_Indicadores!$I$5:$I$17,((Pesos_Indicadores!$B$5:$B$17=$A$10)*A105+(Pesos_Indicadores!$B$5:$B$17&lt;&gt;$A$10)*Pesos_Indicadores!$G$5:$G$17*(1-A105)/(1-$B$10)),Normalizacao!$AK$5:$AK$17)/B105,""))</f>
        <v>0.850195998013143</v>
      </c>
      <c r="F105" s="17" t="str">
        <f aca="false">IF(C105="","",IF(INDEX(C105:E105,$B$5)&gt;=MAX(C105:E105),$B$4,INDEX(Pontuacao!$A$29:$A$31,MATCH(MAX(C105:E105),C105:E105,0))))</f>
        <v>Microsoft Azure</v>
      </c>
      <c r="G105" s="43" t="str">
        <f aca="false">IF(OR(F105="",F105=$B$4,ABS(A105-$B$10)&lt;0.000000001),"",ABS(A105-$B$10))</f>
        <v/>
      </c>
      <c r="I105" s="60" t="n">
        <f aca="false">(ROW()-17)*$B$6</f>
        <v>0.44</v>
      </c>
      <c r="J105" s="43" t="n">
        <f aca="false">IFERROR(SUMPRODUCT(Normalizacao!$AL$5:$AL$17,Pesos_Indicadores!$I$5:$I$17,((Pesos_Indicadores!$B$5:$B$17=$A$11)*I105+(Pesos_Indicadores!$B$5:$B$17&lt;&gt;$A$11)*Pesos_Indicadores!$G$5:$G$17*(1-I105)/(1-$B$11))),0)</f>
        <v>0.898461538461539</v>
      </c>
      <c r="K105" s="60" t="n">
        <f aca="false">IF(J105=0,"",IFERROR(SUMPRODUCT(Normalizacao!$AL$5:$AL$17,Pesos_Indicadores!$I$5:$I$17,((Pesos_Indicadores!$B$5:$B$17=$A$11)*I105+(Pesos_Indicadores!$B$5:$B$17&lt;&gt;$A$11)*Pesos_Indicadores!$G$5:$G$17*(1-I105)/(1-$B$11)),Normalizacao!$AI$5:$AI$17)/J105,""))</f>
        <v>0.780299108962101</v>
      </c>
      <c r="L105" s="60" t="n">
        <f aca="false">IF(J105=0,"",IFERROR(SUMPRODUCT(Normalizacao!$AL$5:$AL$17,Pesos_Indicadores!$I$5:$I$17,((Pesos_Indicadores!$B$5:$B$17=$A$11)*I105+(Pesos_Indicadores!$B$5:$B$17&lt;&gt;$A$11)*Pesos_Indicadores!$G$5:$G$17*(1-I105)/(1-$B$11)),Normalizacao!$AJ$5:$AJ$17)/J105,""))</f>
        <v>0.796278700119119</v>
      </c>
      <c r="M105" s="60" t="n">
        <f aca="false">IF(J105=0,"",IFERROR(SUMPRODUCT(Normalizacao!$AL$5:$AL$17,Pesos_Indicadores!$I$5:$I$17,((Pesos_Indicadores!$B$5:$B$17=$A$11)*I105+(Pesos_Indicadores!$B$5:$B$17&lt;&gt;$A$11)*Pesos_Indicadores!$G$5:$G$17*(1-I105)/(1-$B$11)),Normalizacao!$AK$5:$AK$17)/J105,""))</f>
        <v>0.831535317487228</v>
      </c>
      <c r="N105" s="17" t="str">
        <f aca="false">IF(K105="","",IF(INDEX(K105:M105,$B$5)&gt;=MAX(K105:M105),$B$4,INDEX(Pontuacao!$A$29:$A$31,MATCH(MAX(K105:M105),K105:M105,0))))</f>
        <v>Microsoft Azure</v>
      </c>
      <c r="O105" s="43" t="str">
        <f aca="false">IF(OR(N105="",N105=$B$4,ABS(I105-$B$11)&lt;0.000000001),"",ABS(I105-$B$11))</f>
        <v/>
      </c>
      <c r="Q105" s="60" t="n">
        <f aca="false">(ROW()-17)*$B$6</f>
        <v>0.44</v>
      </c>
      <c r="R105" s="43" t="n">
        <f aca="false">IFERROR(SUMPRODUCT(Normalizacao!$AL$5:$AL$17,Pesos_Indicadores!$I$5:$I$17,((Pesos_Indicadores!$B$5:$B$17=$A$12)*Q105+(Pesos_Indicadores!$B$5:$B$17&lt;&gt;$A$12)*Pesos_Indicadores!$G$5:$G$17*(1-Q105)/(1-$B$12))),0)</f>
        <v>0.935384615384616</v>
      </c>
      <c r="S105" s="60" t="n">
        <f aca="false">IF(R105=0,"",IFERROR(SUMPRODUCT(Normalizacao!$AL$5:$AL$17,Pesos_Indicadores!$I$5:$I$17,((Pesos_Indicadores!$B$5:$B$17=$A$12)*Q105+(Pesos_Indicadores!$B$5:$B$17&lt;&gt;$A$12)*Pesos_Indicadores!$G$5:$G$17*(1-Q105)/(1-$B$12)),Normalizacao!$AI$5:$AI$17)/R105,""))</f>
        <v>0.737620720673251</v>
      </c>
      <c r="T105" s="60" t="n">
        <f aca="false">IF(R105=0,"",IFERROR(SUMPRODUCT(Normalizacao!$AL$5:$AL$17,Pesos_Indicadores!$I$5:$I$17,((Pesos_Indicadores!$B$5:$B$17=$A$12)*Q105+(Pesos_Indicadores!$B$5:$B$17&lt;&gt;$A$12)*Pesos_Indicadores!$G$5:$G$17*(1-Q105)/(1-$B$12)),Normalizacao!$AJ$5:$AJ$17)/R105,""))</f>
        <v>0.814364809782609</v>
      </c>
      <c r="U105" s="60" t="n">
        <f aca="false">IF(R105=0,"",IFERROR(SUMPRODUCT(Normalizacao!$AL$5:$AL$17,Pesos_Indicadores!$I$5:$I$17,((Pesos_Indicadores!$B$5:$B$17=$A$12)*Q105+(Pesos_Indicadores!$B$5:$B$17&lt;&gt;$A$12)*Pesos_Indicadores!$G$5:$G$17*(1-Q105)/(1-$B$12)),Normalizacao!$AK$5:$AK$17)/R105,""))</f>
        <v>0.845277568464083</v>
      </c>
      <c r="V105" s="17" t="str">
        <f aca="false">IF(S105="","",IF(INDEX(S105:U105,$B$5)&gt;=MAX(S105:U105),$B$4,INDEX(Pontuacao!$A$29:$A$31,MATCH(MAX(S105:U105),S105:U105,0))))</f>
        <v>Microsoft Azure</v>
      </c>
      <c r="W105" s="43" t="str">
        <f aca="false">IF(OR(V105="",V105=$B$4,ABS(Q105-$B$12)&lt;0.000000001),"",ABS(Q105-$B$12))</f>
        <v/>
      </c>
    </row>
    <row r="106" customFormat="false" ht="15" hidden="false" customHeight="true" outlineLevel="0" collapsed="false">
      <c r="A106" s="60" t="n">
        <f aca="false">(ROW()-17)*$B$6</f>
        <v>0.445</v>
      </c>
      <c r="B106" s="43" t="n">
        <f aca="false">IFERROR(SUMPRODUCT(Normalizacao!$AL$5:$AL$17,Pesos_Indicadores!$I$5:$I$17,((Pesos_Indicadores!$B$5:$B$17=$A$10)*A106+(Pesos_Indicadores!$B$5:$B$17&lt;&gt;$A$10)*Pesos_Indicadores!$G$5:$G$17*(1-A106)/(1-$B$10))),0)</f>
        <v>0.987192307692308</v>
      </c>
      <c r="C106" s="60" t="n">
        <f aca="false">IF(B106=0,"",IFERROR(SUMPRODUCT(Normalizacao!$AL$5:$AL$17,Pesos_Indicadores!$I$5:$I$17,((Pesos_Indicadores!$B$5:$B$17=$A$10)*A106+(Pesos_Indicadores!$B$5:$B$17&lt;&gt;$A$10)*Pesos_Indicadores!$G$5:$G$17*(1-A106)/(1-$B$10)),Normalizacao!$AI$5:$AI$17)/B106,""))</f>
        <v>0.70100803246723</v>
      </c>
      <c r="D106" s="60" t="n">
        <f aca="false">IF(B106=0,"",IFERROR(SUMPRODUCT(Normalizacao!$AL$5:$AL$17,Pesos_Indicadores!$I$5:$I$17,((Pesos_Indicadores!$B$5:$B$17=$A$10)*A106+(Pesos_Indicadores!$B$5:$B$17&lt;&gt;$A$10)*Pesos_Indicadores!$G$5:$G$17*(1-A106)/(1-$B$10)),Normalizacao!$AJ$5:$AJ$17)/B106,""))</f>
        <v>0.816575441143339</v>
      </c>
      <c r="E106" s="60" t="n">
        <f aca="false">IF(B106=0,"",IFERROR(SUMPRODUCT(Normalizacao!$AL$5:$AL$17,Pesos_Indicadores!$I$5:$I$17,((Pesos_Indicadores!$B$5:$B$17=$A$10)*A106+(Pesos_Indicadores!$B$5:$B$17&lt;&gt;$A$10)*Pesos_Indicadores!$G$5:$G$17*(1-A106)/(1-$B$10)),Normalizacao!$AK$5:$AK$17)/B106,""))</f>
        <v>0.850587019390761</v>
      </c>
      <c r="F106" s="17" t="str">
        <f aca="false">IF(C106="","",IF(INDEX(C106:E106,$B$5)&gt;=MAX(C106:E106),$B$4,INDEX(Pontuacao!$A$29:$A$31,MATCH(MAX(C106:E106),C106:E106,0))))</f>
        <v>Microsoft Azure</v>
      </c>
      <c r="G106" s="43" t="str">
        <f aca="false">IF(OR(F106="",F106=$B$4,ABS(A106-$B$10)&lt;0.000000001),"",ABS(A106-$B$10))</f>
        <v/>
      </c>
      <c r="I106" s="60" t="n">
        <f aca="false">(ROW()-17)*$B$6</f>
        <v>0.445</v>
      </c>
      <c r="J106" s="43" t="n">
        <f aca="false">IFERROR(SUMPRODUCT(Normalizacao!$AL$5:$AL$17,Pesos_Indicadores!$I$5:$I$17,((Pesos_Indicadores!$B$5:$B$17=$A$11)*I106+(Pesos_Indicadores!$B$5:$B$17&lt;&gt;$A$11)*Pesos_Indicadores!$G$5:$G$17*(1-I106)/(1-$B$11))),0)</f>
        <v>0.897307692307692</v>
      </c>
      <c r="K106" s="60" t="n">
        <f aca="false">IF(J106=0,"",IFERROR(SUMPRODUCT(Normalizacao!$AL$5:$AL$17,Pesos_Indicadores!$I$5:$I$17,((Pesos_Indicadores!$B$5:$B$17=$A$11)*I106+(Pesos_Indicadores!$B$5:$B$17&lt;&gt;$A$11)*Pesos_Indicadores!$G$5:$G$17*(1-I106)/(1-$B$11)),Normalizacao!$AI$5:$AI$17)/J106,""))</f>
        <v>0.780832610363102</v>
      </c>
      <c r="L106" s="60" t="n">
        <f aca="false">IF(J106=0,"",IFERROR(SUMPRODUCT(Normalizacao!$AL$5:$AL$17,Pesos_Indicadores!$I$5:$I$17,((Pesos_Indicadores!$B$5:$B$17=$A$11)*I106+(Pesos_Indicadores!$B$5:$B$17&lt;&gt;$A$11)*Pesos_Indicadores!$G$5:$G$17*(1-I106)/(1-$B$11)),Normalizacao!$AJ$5:$AJ$17)/J106,""))</f>
        <v>0.796689891257757</v>
      </c>
      <c r="M106" s="60" t="n">
        <f aca="false">IF(J106=0,"",IFERROR(SUMPRODUCT(Normalizacao!$AL$5:$AL$17,Pesos_Indicadores!$I$5:$I$17,((Pesos_Indicadores!$B$5:$B$17=$A$11)*I106+(Pesos_Indicadores!$B$5:$B$17&lt;&gt;$A$11)*Pesos_Indicadores!$G$5:$G$17*(1-I106)/(1-$B$11)),Normalizacao!$AK$5:$AK$17)/J106,""))</f>
        <v>0.831673893251948</v>
      </c>
      <c r="N106" s="17" t="str">
        <f aca="false">IF(K106="","",IF(INDEX(K106:M106,$B$5)&gt;=MAX(K106:M106),$B$4,INDEX(Pontuacao!$A$29:$A$31,MATCH(MAX(K106:M106),K106:M106,0))))</f>
        <v>Microsoft Azure</v>
      </c>
      <c r="O106" s="43" t="str">
        <f aca="false">IF(OR(N106="",N106=$B$4,ABS(I106-$B$11)&lt;0.000000001),"",ABS(I106-$B$11))</f>
        <v/>
      </c>
      <c r="Q106" s="60" t="n">
        <f aca="false">(ROW()-17)*$B$6</f>
        <v>0.445</v>
      </c>
      <c r="R106" s="43" t="n">
        <f aca="false">IFERROR(SUMPRODUCT(Normalizacao!$AL$5:$AL$17,Pesos_Indicadores!$I$5:$I$17,((Pesos_Indicadores!$B$5:$B$17=$A$12)*Q106+(Pesos_Indicadores!$B$5:$B$17&lt;&gt;$A$12)*Pesos_Indicadores!$G$5:$G$17*(1-Q106)/(1-$B$12))),0)</f>
        <v>0.935961538461538</v>
      </c>
      <c r="S106" s="60" t="n">
        <f aca="false">IF(R106=0,"",IFERROR(SUMPRODUCT(Normalizacao!$AL$5:$AL$17,Pesos_Indicadores!$I$5:$I$17,((Pesos_Indicadores!$B$5:$B$17=$A$12)*Q106+(Pesos_Indicadores!$B$5:$B$17&lt;&gt;$A$12)*Pesos_Indicadores!$G$5:$G$17*(1-Q106)/(1-$B$12)),Normalizacao!$AI$5:$AI$17)/R106,""))</f>
        <v>0.737738812363092</v>
      </c>
      <c r="T106" s="60" t="n">
        <f aca="false">IF(R106=0,"",IFERROR(SUMPRODUCT(Normalizacao!$AL$5:$AL$17,Pesos_Indicadores!$I$5:$I$17,((Pesos_Indicadores!$B$5:$B$17=$A$12)*Q106+(Pesos_Indicadores!$B$5:$B$17&lt;&gt;$A$12)*Pesos_Indicadores!$G$5:$G$17*(1-Q106)/(1-$B$12)),Normalizacao!$AJ$5:$AJ$17)/R106,""))</f>
        <v>0.813750803994962</v>
      </c>
      <c r="U106" s="60" t="n">
        <f aca="false">IF(R106=0,"",IFERROR(SUMPRODUCT(Normalizacao!$AL$5:$AL$17,Pesos_Indicadores!$I$5:$I$17,((Pesos_Indicadores!$B$5:$B$17=$A$12)*Q106+(Pesos_Indicadores!$B$5:$B$17&lt;&gt;$A$12)*Pesos_Indicadores!$G$5:$G$17*(1-Q106)/(1-$B$12)),Normalizacao!$AK$5:$AK$17)/R106,""))</f>
        <v>0.844964888028766</v>
      </c>
      <c r="V106" s="17" t="str">
        <f aca="false">IF(S106="","",IF(INDEX(S106:U106,$B$5)&gt;=MAX(S106:U106),$B$4,INDEX(Pontuacao!$A$29:$A$31,MATCH(MAX(S106:U106),S106:U106,0))))</f>
        <v>Microsoft Azure</v>
      </c>
      <c r="W106" s="43" t="str">
        <f aca="false">IF(OR(V106="",V106=$B$4,ABS(Q106-$B$12)&lt;0.000000001),"",ABS(Q106-$B$12))</f>
        <v/>
      </c>
    </row>
    <row r="107" customFormat="false" ht="15" hidden="false" customHeight="true" outlineLevel="0" collapsed="false">
      <c r="A107" s="60" t="n">
        <f aca="false">(ROW()-17)*$B$6</f>
        <v>0.45</v>
      </c>
      <c r="B107" s="43" t="n">
        <f aca="false">IFERROR(SUMPRODUCT(Normalizacao!$AL$5:$AL$17,Pesos_Indicadores!$I$5:$I$17,((Pesos_Indicadores!$B$5:$B$17=$A$10)*A107+(Pesos_Indicadores!$B$5:$B$17&lt;&gt;$A$10)*Pesos_Indicadores!$G$5:$G$17*(1-A107)/(1-$B$10))),0)</f>
        <v>0.987307692307692</v>
      </c>
      <c r="C107" s="60" t="n">
        <f aca="false">IF(B107=0,"",IFERROR(SUMPRODUCT(Normalizacao!$AL$5:$AL$17,Pesos_Indicadores!$I$5:$I$17,((Pesos_Indicadores!$B$5:$B$17=$A$10)*A107+(Pesos_Indicadores!$B$5:$B$17&lt;&gt;$A$10)*Pesos_Indicadores!$G$5:$G$17*(1-A107)/(1-$B$10)),Normalizacao!$AI$5:$AI$17)/B107,""))</f>
        <v>0.700375809317165</v>
      </c>
      <c r="D107" s="60" t="n">
        <f aca="false">IF(B107=0,"",IFERROR(SUMPRODUCT(Normalizacao!$AL$5:$AL$17,Pesos_Indicadores!$I$5:$I$17,((Pesos_Indicadores!$B$5:$B$17=$A$10)*A107+(Pesos_Indicadores!$B$5:$B$17&lt;&gt;$A$10)*Pesos_Indicadores!$G$5:$G$17*(1-A107)/(1-$B$10)),Normalizacao!$AJ$5:$AJ$17)/B107,""))</f>
        <v>0.817228070324012</v>
      </c>
      <c r="E107" s="60" t="n">
        <f aca="false">IF(B107=0,"",IFERROR(SUMPRODUCT(Normalizacao!$AL$5:$AL$17,Pesos_Indicadores!$I$5:$I$17,((Pesos_Indicadores!$B$5:$B$17=$A$10)*A107+(Pesos_Indicadores!$B$5:$B$17&lt;&gt;$A$10)*Pesos_Indicadores!$G$5:$G$17*(1-A107)/(1-$B$10)),Normalizacao!$AK$5:$AK$17)/B107,""))</f>
        <v>0.850977949372654</v>
      </c>
      <c r="F107" s="17" t="str">
        <f aca="false">IF(C107="","",IF(INDEX(C107:E107,$B$5)&gt;=MAX(C107:E107),$B$4,INDEX(Pontuacao!$A$29:$A$31,MATCH(MAX(C107:E107),C107:E107,0))))</f>
        <v>Microsoft Azure</v>
      </c>
      <c r="G107" s="43" t="str">
        <f aca="false">IF(OR(F107="",F107=$B$4,ABS(A107-$B$10)&lt;0.000000001),"",ABS(A107-$B$10))</f>
        <v/>
      </c>
      <c r="I107" s="60" t="n">
        <f aca="false">(ROW()-17)*$B$6</f>
        <v>0.45</v>
      </c>
      <c r="J107" s="43" t="n">
        <f aca="false">IFERROR(SUMPRODUCT(Normalizacao!$AL$5:$AL$17,Pesos_Indicadores!$I$5:$I$17,((Pesos_Indicadores!$B$5:$B$17=$A$11)*I107+(Pesos_Indicadores!$B$5:$B$17&lt;&gt;$A$11)*Pesos_Indicadores!$G$5:$G$17*(1-I107)/(1-$B$11))),0)</f>
        <v>0.896153846153846</v>
      </c>
      <c r="K107" s="60" t="n">
        <f aca="false">IF(J107=0,"",IFERROR(SUMPRODUCT(Normalizacao!$AL$5:$AL$17,Pesos_Indicadores!$I$5:$I$17,((Pesos_Indicadores!$B$5:$B$17=$A$11)*I107+(Pesos_Indicadores!$B$5:$B$17&lt;&gt;$A$11)*Pesos_Indicadores!$G$5:$G$17*(1-I107)/(1-$B$11)),Normalizacao!$AI$5:$AI$17)/J107,""))</f>
        <v>0.781367485587453</v>
      </c>
      <c r="L107" s="60" t="n">
        <f aca="false">IF(J107=0,"",IFERROR(SUMPRODUCT(Normalizacao!$AL$5:$AL$17,Pesos_Indicadores!$I$5:$I$17,((Pesos_Indicadores!$B$5:$B$17=$A$11)*I107+(Pesos_Indicadores!$B$5:$B$17&lt;&gt;$A$11)*Pesos_Indicadores!$G$5:$G$17*(1-I107)/(1-$B$11)),Normalizacao!$AJ$5:$AJ$17)/J107,""))</f>
        <v>0.797102141257697</v>
      </c>
      <c r="M107" s="60" t="n">
        <f aca="false">IF(J107=0,"",IFERROR(SUMPRODUCT(Normalizacao!$AL$5:$AL$17,Pesos_Indicadores!$I$5:$I$17,((Pesos_Indicadores!$B$5:$B$17=$A$11)*I107+(Pesos_Indicadores!$B$5:$B$17&lt;&gt;$A$11)*Pesos_Indicadores!$G$5:$G$17*(1-I107)/(1-$B$11)),Normalizacao!$AK$5:$AK$17)/J107,""))</f>
        <v>0.831812825864132</v>
      </c>
      <c r="N107" s="17" t="str">
        <f aca="false">IF(K107="","",IF(INDEX(K107:M107,$B$5)&gt;=MAX(K107:M107),$B$4,INDEX(Pontuacao!$A$29:$A$31,MATCH(MAX(K107:M107),K107:M107,0))))</f>
        <v>Microsoft Azure</v>
      </c>
      <c r="O107" s="43" t="str">
        <f aca="false">IF(OR(N107="",N107=$B$4,ABS(I107-$B$11)&lt;0.000000001),"",ABS(I107-$B$11))</f>
        <v/>
      </c>
      <c r="Q107" s="60" t="n">
        <f aca="false">(ROW()-17)*$B$6</f>
        <v>0.45</v>
      </c>
      <c r="R107" s="43" t="n">
        <f aca="false">IFERROR(SUMPRODUCT(Normalizacao!$AL$5:$AL$17,Pesos_Indicadores!$I$5:$I$17,((Pesos_Indicadores!$B$5:$B$17=$A$12)*Q107+(Pesos_Indicadores!$B$5:$B$17&lt;&gt;$A$12)*Pesos_Indicadores!$G$5:$G$17*(1-Q107)/(1-$B$12))),0)</f>
        <v>0.936538461538462</v>
      </c>
      <c r="S107" s="60" t="n">
        <f aca="false">IF(R107=0,"",IFERROR(SUMPRODUCT(Normalizacao!$AL$5:$AL$17,Pesos_Indicadores!$I$5:$I$17,((Pesos_Indicadores!$B$5:$B$17=$A$12)*Q107+(Pesos_Indicadores!$B$5:$B$17&lt;&gt;$A$12)*Pesos_Indicadores!$G$5:$G$17*(1-Q107)/(1-$B$12)),Normalizacao!$AI$5:$AI$17)/R107,""))</f>
        <v>0.737856758560091</v>
      </c>
      <c r="T107" s="60" t="n">
        <f aca="false">IF(R107=0,"",IFERROR(SUMPRODUCT(Normalizacao!$AL$5:$AL$17,Pesos_Indicadores!$I$5:$I$17,((Pesos_Indicadores!$B$5:$B$17=$A$12)*Q107+(Pesos_Indicadores!$B$5:$B$17&lt;&gt;$A$12)*Pesos_Indicadores!$G$5:$G$17*(1-Q107)/(1-$B$12)),Normalizacao!$AJ$5:$AJ$17)/R107,""))</f>
        <v>0.813137554682618</v>
      </c>
      <c r="U107" s="60" t="n">
        <f aca="false">IF(R107=0,"",IFERROR(SUMPRODUCT(Normalizacao!$AL$5:$AL$17,Pesos_Indicadores!$I$5:$I$17,((Pesos_Indicadores!$B$5:$B$17=$A$12)*Q107+(Pesos_Indicadores!$B$5:$B$17&lt;&gt;$A$12)*Pesos_Indicadores!$G$5:$G$17*(1-Q107)/(1-$B$12)),Normalizacao!$AK$5:$AK$17)/R107,""))</f>
        <v>0.844652592826018</v>
      </c>
      <c r="V107" s="17" t="str">
        <f aca="false">IF(S107="","",IF(INDEX(S107:U107,$B$5)&gt;=MAX(S107:U107),$B$4,INDEX(Pontuacao!$A$29:$A$31,MATCH(MAX(S107:U107),S107:U107,0))))</f>
        <v>Microsoft Azure</v>
      </c>
      <c r="W107" s="43" t="str">
        <f aca="false">IF(OR(V107="",V107=$B$4,ABS(Q107-$B$12)&lt;0.000000001),"",ABS(Q107-$B$12))</f>
        <v/>
      </c>
    </row>
    <row r="108" customFormat="false" ht="15" hidden="false" customHeight="true" outlineLevel="0" collapsed="false">
      <c r="A108" s="60" t="n">
        <f aca="false">(ROW()-17)*$B$6</f>
        <v>0.455</v>
      </c>
      <c r="B108" s="43" t="n">
        <f aca="false">IFERROR(SUMPRODUCT(Normalizacao!$AL$5:$AL$17,Pesos_Indicadores!$I$5:$I$17,((Pesos_Indicadores!$B$5:$B$17=$A$10)*A108+(Pesos_Indicadores!$B$5:$B$17&lt;&gt;$A$10)*Pesos_Indicadores!$G$5:$G$17*(1-A108)/(1-$B$10))),0)</f>
        <v>0.987423076923077</v>
      </c>
      <c r="C108" s="60" t="n">
        <f aca="false">IF(B108=0,"",IFERROR(SUMPRODUCT(Normalizacao!$AL$5:$AL$17,Pesos_Indicadores!$I$5:$I$17,((Pesos_Indicadores!$B$5:$B$17=$A$10)*A108+(Pesos_Indicadores!$B$5:$B$17&lt;&gt;$A$10)*Pesos_Indicadores!$G$5:$G$17*(1-A108)/(1-$B$10)),Normalizacao!$AI$5:$AI$17)/B108,""))</f>
        <v>0.699743733923066</v>
      </c>
      <c r="D108" s="60" t="n">
        <f aca="false">IF(B108=0,"",IFERROR(SUMPRODUCT(Normalizacao!$AL$5:$AL$17,Pesos_Indicadores!$I$5:$I$17,((Pesos_Indicadores!$B$5:$B$17=$A$10)*A108+(Pesos_Indicadores!$B$5:$B$17&lt;&gt;$A$10)*Pesos_Indicadores!$G$5:$G$17*(1-A108)/(1-$B$10)),Normalizacao!$AJ$5:$AJ$17)/B108,""))</f>
        <v>0.817880546979656</v>
      </c>
      <c r="E108" s="60" t="n">
        <f aca="false">IF(B108=0,"",IFERROR(SUMPRODUCT(Normalizacao!$AL$5:$AL$17,Pesos_Indicadores!$I$5:$I$17,((Pesos_Indicadores!$B$5:$B$17=$A$10)*A108+(Pesos_Indicadores!$B$5:$B$17&lt;&gt;$A$10)*Pesos_Indicadores!$G$5:$G$17*(1-A108)/(1-$B$10)),Normalizacao!$AK$5:$AK$17)/B108,""))</f>
        <v>0.851368787990862</v>
      </c>
      <c r="F108" s="17" t="str">
        <f aca="false">IF(C108="","",IF(INDEX(C108:E108,$B$5)&gt;=MAX(C108:E108),$B$4,INDEX(Pontuacao!$A$29:$A$31,MATCH(MAX(C108:E108),C108:E108,0))))</f>
        <v>Microsoft Azure</v>
      </c>
      <c r="G108" s="43" t="str">
        <f aca="false">IF(OR(F108="",F108=$B$4,ABS(A108-$B$10)&lt;0.000000001),"",ABS(A108-$B$10))</f>
        <v/>
      </c>
      <c r="I108" s="60" t="n">
        <f aca="false">(ROW()-17)*$B$6</f>
        <v>0.455</v>
      </c>
      <c r="J108" s="43" t="n">
        <f aca="false">IFERROR(SUMPRODUCT(Normalizacao!$AL$5:$AL$17,Pesos_Indicadores!$I$5:$I$17,((Pesos_Indicadores!$B$5:$B$17=$A$11)*I108+(Pesos_Indicadores!$B$5:$B$17&lt;&gt;$A$11)*Pesos_Indicadores!$G$5:$G$17*(1-I108)/(1-$B$11))),0)</f>
        <v>0.895</v>
      </c>
      <c r="K108" s="60" t="n">
        <f aca="false">IF(J108=0,"",IFERROR(SUMPRODUCT(Normalizacao!$AL$5:$AL$17,Pesos_Indicadores!$I$5:$I$17,((Pesos_Indicadores!$B$5:$B$17=$A$11)*I108+(Pesos_Indicadores!$B$5:$B$17&lt;&gt;$A$11)*Pesos_Indicadores!$G$5:$G$17*(1-I108)/(1-$B$11)),Normalizacao!$AI$5:$AI$17)/J108,""))</f>
        <v>0.781903739948608</v>
      </c>
      <c r="L108" s="60" t="n">
        <f aca="false">IF(J108=0,"",IFERROR(SUMPRODUCT(Normalizacao!$AL$5:$AL$17,Pesos_Indicadores!$I$5:$I$17,((Pesos_Indicadores!$B$5:$B$17=$A$11)*I108+(Pesos_Indicadores!$B$5:$B$17&lt;&gt;$A$11)*Pesos_Indicadores!$G$5:$G$17*(1-I108)/(1-$B$11)),Normalizacao!$AJ$5:$AJ$17)/J108,""))</f>
        <v>0.797515454214234</v>
      </c>
      <c r="M108" s="60" t="n">
        <f aca="false">IF(J108=0,"",IFERROR(SUMPRODUCT(Normalizacao!$AL$5:$AL$17,Pesos_Indicadores!$I$5:$I$17,((Pesos_Indicadores!$B$5:$B$17=$A$11)*I108+(Pesos_Indicadores!$B$5:$B$17&lt;&gt;$A$11)*Pesos_Indicadores!$G$5:$G$17*(1-I108)/(1-$B$11)),Normalizacao!$AK$5:$AK$17)/J108,""))</f>
        <v>0.831952116703935</v>
      </c>
      <c r="N108" s="17" t="str">
        <f aca="false">IF(K108="","",IF(INDEX(K108:M108,$B$5)&gt;=MAX(K108:M108),$B$4,INDEX(Pontuacao!$A$29:$A$31,MATCH(MAX(K108:M108),K108:M108,0))))</f>
        <v>Microsoft Azure</v>
      </c>
      <c r="O108" s="43" t="str">
        <f aca="false">IF(OR(N108="",N108=$B$4,ABS(I108-$B$11)&lt;0.000000001),"",ABS(I108-$B$11))</f>
        <v/>
      </c>
      <c r="Q108" s="60" t="n">
        <f aca="false">(ROW()-17)*$B$6</f>
        <v>0.455</v>
      </c>
      <c r="R108" s="43" t="n">
        <f aca="false">IFERROR(SUMPRODUCT(Normalizacao!$AL$5:$AL$17,Pesos_Indicadores!$I$5:$I$17,((Pesos_Indicadores!$B$5:$B$17=$A$12)*Q108+(Pesos_Indicadores!$B$5:$B$17&lt;&gt;$A$12)*Pesos_Indicadores!$G$5:$G$17*(1-Q108)/(1-$B$12))),0)</f>
        <v>0.937115384615385</v>
      </c>
      <c r="S108" s="60" t="n">
        <f aca="false">IF(R108=0,"",IFERROR(SUMPRODUCT(Normalizacao!$AL$5:$AL$17,Pesos_Indicadores!$I$5:$I$17,((Pesos_Indicadores!$B$5:$B$17=$A$12)*Q108+(Pesos_Indicadores!$B$5:$B$17&lt;&gt;$A$12)*Pesos_Indicadores!$G$5:$G$17*(1-Q108)/(1-$B$12)),Normalizacao!$AI$5:$AI$17)/R108,""))</f>
        <v>0.737974559532961</v>
      </c>
      <c r="T108" s="60" t="n">
        <f aca="false">IF(R108=0,"",IFERROR(SUMPRODUCT(Normalizacao!$AL$5:$AL$17,Pesos_Indicadores!$I$5:$I$17,((Pesos_Indicadores!$B$5:$B$17=$A$12)*Q108+(Pesos_Indicadores!$B$5:$B$17&lt;&gt;$A$12)*Pesos_Indicadores!$G$5:$G$17*(1-Q108)/(1-$B$12)),Normalizacao!$AJ$5:$AJ$17)/R108,""))</f>
        <v>0.812525060448434</v>
      </c>
      <c r="U108" s="60" t="n">
        <f aca="false">IF(R108=0,"",IFERROR(SUMPRODUCT(Normalizacao!$AL$5:$AL$17,Pesos_Indicadores!$I$5:$I$17,((Pesos_Indicadores!$B$5:$B$17=$A$12)*Q108+(Pesos_Indicadores!$B$5:$B$17&lt;&gt;$A$12)*Pesos_Indicadores!$G$5:$G$17*(1-Q108)/(1-$B$12)),Normalizacao!$AK$5:$AK$17)/R108,""))</f>
        <v>0.844340682144348</v>
      </c>
      <c r="V108" s="17" t="str">
        <f aca="false">IF(S108="","",IF(INDEX(S108:U108,$B$5)&gt;=MAX(S108:U108),$B$4,INDEX(Pontuacao!$A$29:$A$31,MATCH(MAX(S108:U108),S108:U108,0))))</f>
        <v>Microsoft Azure</v>
      </c>
      <c r="W108" s="43" t="str">
        <f aca="false">IF(OR(V108="",V108=$B$4,ABS(Q108-$B$12)&lt;0.000000001),"",ABS(Q108-$B$12))</f>
        <v/>
      </c>
    </row>
    <row r="109" customFormat="false" ht="15" hidden="false" customHeight="true" outlineLevel="0" collapsed="false">
      <c r="A109" s="60" t="n">
        <f aca="false">(ROW()-17)*$B$6</f>
        <v>0.46</v>
      </c>
      <c r="B109" s="43" t="n">
        <f aca="false">IFERROR(SUMPRODUCT(Normalizacao!$AL$5:$AL$17,Pesos_Indicadores!$I$5:$I$17,((Pesos_Indicadores!$B$5:$B$17=$A$10)*A109+(Pesos_Indicadores!$B$5:$B$17&lt;&gt;$A$10)*Pesos_Indicadores!$G$5:$G$17*(1-A109)/(1-$B$10))),0)</f>
        <v>0.987538461538462</v>
      </c>
      <c r="C109" s="60" t="n">
        <f aca="false">IF(B109=0,"",IFERROR(SUMPRODUCT(Normalizacao!$AL$5:$AL$17,Pesos_Indicadores!$I$5:$I$17,((Pesos_Indicadores!$B$5:$B$17=$A$10)*A109+(Pesos_Indicadores!$B$5:$B$17&lt;&gt;$A$10)*Pesos_Indicadores!$G$5:$G$17*(1-A109)/(1-$B$10)),Normalizacao!$AI$5:$AI$17)/B109,""))</f>
        <v>0.69911180623314</v>
      </c>
      <c r="D109" s="60" t="n">
        <f aca="false">IF(B109=0,"",IFERROR(SUMPRODUCT(Normalizacao!$AL$5:$AL$17,Pesos_Indicadores!$I$5:$I$17,((Pesos_Indicadores!$B$5:$B$17=$A$10)*A109+(Pesos_Indicadores!$B$5:$B$17&lt;&gt;$A$10)*Pesos_Indicadores!$G$5:$G$17*(1-A109)/(1-$B$10)),Normalizacao!$AJ$5:$AJ$17)/B109,""))</f>
        <v>0.818532871163733</v>
      </c>
      <c r="E109" s="60" t="n">
        <f aca="false">IF(B109=0,"",IFERROR(SUMPRODUCT(Normalizacao!$AL$5:$AL$17,Pesos_Indicadores!$I$5:$I$17,((Pesos_Indicadores!$B$5:$B$17=$A$10)*A109+(Pesos_Indicadores!$B$5:$B$17&lt;&gt;$A$10)*Pesos_Indicadores!$G$5:$G$17*(1-A109)/(1-$B$10)),Normalizacao!$AK$5:$AK$17)/B109,""))</f>
        <v>0.85175953527741</v>
      </c>
      <c r="F109" s="17" t="str">
        <f aca="false">IF(C109="","",IF(INDEX(C109:E109,$B$5)&gt;=MAX(C109:E109),$B$4,INDEX(Pontuacao!$A$29:$A$31,MATCH(MAX(C109:E109),C109:E109,0))))</f>
        <v>Microsoft Azure</v>
      </c>
      <c r="G109" s="43" t="str">
        <f aca="false">IF(OR(F109="",F109=$B$4,ABS(A109-$B$10)&lt;0.000000001),"",ABS(A109-$B$10))</f>
        <v/>
      </c>
      <c r="I109" s="60" t="n">
        <f aca="false">(ROW()-17)*$B$6</f>
        <v>0.46</v>
      </c>
      <c r="J109" s="43" t="n">
        <f aca="false">IFERROR(SUMPRODUCT(Normalizacao!$AL$5:$AL$17,Pesos_Indicadores!$I$5:$I$17,((Pesos_Indicadores!$B$5:$B$17=$A$11)*I109+(Pesos_Indicadores!$B$5:$B$17&lt;&gt;$A$11)*Pesos_Indicadores!$G$5:$G$17*(1-I109)/(1-$B$11))),0)</f>
        <v>0.893846153846154</v>
      </c>
      <c r="K109" s="60" t="n">
        <f aca="false">IF(J109=0,"",IFERROR(SUMPRODUCT(Normalizacao!$AL$5:$AL$17,Pesos_Indicadores!$I$5:$I$17,((Pesos_Indicadores!$B$5:$B$17=$A$11)*I109+(Pesos_Indicadores!$B$5:$B$17&lt;&gt;$A$11)*Pesos_Indicadores!$G$5:$G$17*(1-I109)/(1-$B$11)),Normalizacao!$AI$5:$AI$17)/J109,""))</f>
        <v>0.782441378787461</v>
      </c>
      <c r="L109" s="60" t="n">
        <f aca="false">IF(J109=0,"",IFERROR(SUMPRODUCT(Normalizacao!$AL$5:$AL$17,Pesos_Indicadores!$I$5:$I$17,((Pesos_Indicadores!$B$5:$B$17=$A$11)*I109+(Pesos_Indicadores!$B$5:$B$17&lt;&gt;$A$11)*Pesos_Indicadores!$G$5:$G$17*(1-I109)/(1-$B$11)),Normalizacao!$AJ$5:$AJ$17)/J109,""))</f>
        <v>0.797929834243808</v>
      </c>
      <c r="M109" s="60" t="n">
        <f aca="false">IF(J109=0,"",IFERROR(SUMPRODUCT(Normalizacao!$AL$5:$AL$17,Pesos_Indicadores!$I$5:$I$17,((Pesos_Indicadores!$B$5:$B$17=$A$11)*I109+(Pesos_Indicadores!$B$5:$B$17&lt;&gt;$A$11)*Pesos_Indicadores!$G$5:$G$17*(1-I109)/(1-$B$11)),Normalizacao!$AK$5:$AK$17)/J109,""))</f>
        <v>0.832091767158644</v>
      </c>
      <c r="N109" s="17" t="str">
        <f aca="false">IF(K109="","",IF(INDEX(K109:M109,$B$5)&gt;=MAX(K109:M109),$B$4,INDEX(Pontuacao!$A$29:$A$31,MATCH(MAX(K109:M109),K109:M109,0))))</f>
        <v>Microsoft Azure</v>
      </c>
      <c r="O109" s="43" t="str">
        <f aca="false">IF(OR(N109="",N109=$B$4,ABS(I109-$B$11)&lt;0.000000001),"",ABS(I109-$B$11))</f>
        <v/>
      </c>
      <c r="Q109" s="60" t="n">
        <f aca="false">(ROW()-17)*$B$6</f>
        <v>0.46</v>
      </c>
      <c r="R109" s="43" t="n">
        <f aca="false">IFERROR(SUMPRODUCT(Normalizacao!$AL$5:$AL$17,Pesos_Indicadores!$I$5:$I$17,((Pesos_Indicadores!$B$5:$B$17=$A$12)*Q109+(Pesos_Indicadores!$B$5:$B$17&lt;&gt;$A$12)*Pesos_Indicadores!$G$5:$G$17*(1-Q109)/(1-$B$12))),0)</f>
        <v>0.937692307692308</v>
      </c>
      <c r="S109" s="60" t="n">
        <f aca="false">IF(R109=0,"",IFERROR(SUMPRODUCT(Normalizacao!$AL$5:$AL$17,Pesos_Indicadores!$I$5:$I$17,((Pesos_Indicadores!$B$5:$B$17=$A$12)*Q109+(Pesos_Indicadores!$B$5:$B$17&lt;&gt;$A$12)*Pesos_Indicadores!$G$5:$G$17*(1-Q109)/(1-$B$12)),Normalizacao!$AI$5:$AI$17)/R109,""))</f>
        <v>0.738092215549753</v>
      </c>
      <c r="T109" s="60" t="n">
        <f aca="false">IF(R109=0,"",IFERROR(SUMPRODUCT(Normalizacao!$AL$5:$AL$17,Pesos_Indicadores!$I$5:$I$17,((Pesos_Indicadores!$B$5:$B$17=$A$12)*Q109+(Pesos_Indicadores!$B$5:$B$17&lt;&gt;$A$12)*Pesos_Indicadores!$G$5:$G$17*(1-Q109)/(1-$B$12)),Normalizacao!$AJ$5:$AJ$17)/R109,""))</f>
        <v>0.811913319898705</v>
      </c>
      <c r="U109" s="60" t="n">
        <f aca="false">IF(R109=0,"",IFERROR(SUMPRODUCT(Normalizacao!$AL$5:$AL$17,Pesos_Indicadores!$I$5:$I$17,((Pesos_Indicadores!$B$5:$B$17=$A$12)*Q109+(Pesos_Indicadores!$B$5:$B$17&lt;&gt;$A$12)*Pesos_Indicadores!$G$5:$G$17*(1-Q109)/(1-$B$12)),Normalizacao!$AK$5:$AK$17)/R109,""))</f>
        <v>0.844029155274018</v>
      </c>
      <c r="V109" s="17" t="str">
        <f aca="false">IF(S109="","",IF(INDEX(S109:U109,$B$5)&gt;=MAX(S109:U109),$B$4,INDEX(Pontuacao!$A$29:$A$31,MATCH(MAX(S109:U109),S109:U109,0))))</f>
        <v>Microsoft Azure</v>
      </c>
      <c r="W109" s="43" t="str">
        <f aca="false">IF(OR(V109="",V109=$B$4,ABS(Q109-$B$12)&lt;0.000000001),"",ABS(Q109-$B$12))</f>
        <v/>
      </c>
    </row>
    <row r="110" customFormat="false" ht="15" hidden="false" customHeight="true" outlineLevel="0" collapsed="false">
      <c r="A110" s="60" t="n">
        <f aca="false">(ROW()-17)*$B$6</f>
        <v>0.465</v>
      </c>
      <c r="B110" s="43" t="n">
        <f aca="false">IFERROR(SUMPRODUCT(Normalizacao!$AL$5:$AL$17,Pesos_Indicadores!$I$5:$I$17,((Pesos_Indicadores!$B$5:$B$17=$A$10)*A110+(Pesos_Indicadores!$B$5:$B$17&lt;&gt;$A$10)*Pesos_Indicadores!$G$5:$G$17*(1-A110)/(1-$B$10))),0)</f>
        <v>0.987653846153846</v>
      </c>
      <c r="C110" s="60" t="n">
        <f aca="false">IF(B110=0,"",IFERROR(SUMPRODUCT(Normalizacao!$AL$5:$AL$17,Pesos_Indicadores!$I$5:$I$17,((Pesos_Indicadores!$B$5:$B$17=$A$10)*A110+(Pesos_Indicadores!$B$5:$B$17&lt;&gt;$A$10)*Pesos_Indicadores!$G$5:$G$17*(1-A110)/(1-$B$10)),Normalizacao!$AI$5:$AI$17)/B110,""))</f>
        <v>0.698480026195621</v>
      </c>
      <c r="D110" s="60" t="n">
        <f aca="false">IF(B110=0,"",IFERROR(SUMPRODUCT(Normalizacao!$AL$5:$AL$17,Pesos_Indicadores!$I$5:$I$17,((Pesos_Indicadores!$B$5:$B$17=$A$10)*A110+(Pesos_Indicadores!$B$5:$B$17&lt;&gt;$A$10)*Pesos_Indicadores!$G$5:$G$17*(1-A110)/(1-$B$10)),Normalizacao!$AJ$5:$AJ$17)/B110,""))</f>
        <v>0.819185042929682</v>
      </c>
      <c r="E110" s="60" t="n">
        <f aca="false">IF(B110=0,"",IFERROR(SUMPRODUCT(Normalizacao!$AL$5:$AL$17,Pesos_Indicadores!$I$5:$I$17,((Pesos_Indicadores!$B$5:$B$17=$A$10)*A110+(Pesos_Indicadores!$B$5:$B$17&lt;&gt;$A$10)*Pesos_Indicadores!$G$5:$G$17*(1-A110)/(1-$B$10)),Normalizacao!$AK$5:$AK$17)/B110,""))</f>
        <v>0.852150191264307</v>
      </c>
      <c r="F110" s="17" t="str">
        <f aca="false">IF(C110="","",IF(INDEX(C110:E110,$B$5)&gt;=MAX(C110:E110),$B$4,INDEX(Pontuacao!$A$29:$A$31,MATCH(MAX(C110:E110),C110:E110,0))))</f>
        <v>Microsoft Azure</v>
      </c>
      <c r="G110" s="43" t="str">
        <f aca="false">IF(OR(F110="",F110=$B$4,ABS(A110-$B$10)&lt;0.000000001),"",ABS(A110-$B$10))</f>
        <v/>
      </c>
      <c r="I110" s="60" t="n">
        <f aca="false">(ROW()-17)*$B$6</f>
        <v>0.465</v>
      </c>
      <c r="J110" s="43" t="n">
        <f aca="false">IFERROR(SUMPRODUCT(Normalizacao!$AL$5:$AL$17,Pesos_Indicadores!$I$5:$I$17,((Pesos_Indicadores!$B$5:$B$17=$A$11)*I110+(Pesos_Indicadores!$B$5:$B$17&lt;&gt;$A$11)*Pesos_Indicadores!$G$5:$G$17*(1-I110)/(1-$B$11))),0)</f>
        <v>0.892692307692308</v>
      </c>
      <c r="K110" s="60" t="n">
        <f aca="false">IF(J110=0,"",IFERROR(SUMPRODUCT(Normalizacao!$AL$5:$AL$17,Pesos_Indicadores!$I$5:$I$17,((Pesos_Indicadores!$B$5:$B$17=$A$11)*I110+(Pesos_Indicadores!$B$5:$B$17&lt;&gt;$A$11)*Pesos_Indicadores!$G$5:$G$17*(1-I110)/(1-$B$11)),Normalizacao!$AI$5:$AI$17)/J110,""))</f>
        <v>0.782980407472515</v>
      </c>
      <c r="L110" s="60" t="n">
        <f aca="false">IF(J110=0,"",IFERROR(SUMPRODUCT(Normalizacao!$AL$5:$AL$17,Pesos_Indicadores!$I$5:$I$17,((Pesos_Indicadores!$B$5:$B$17=$A$11)*I110+(Pesos_Indicadores!$B$5:$B$17&lt;&gt;$A$11)*Pesos_Indicadores!$G$5:$G$17*(1-I110)/(1-$B$11)),Normalizacao!$AJ$5:$AJ$17)/J110,""))</f>
        <v>0.798345285484143</v>
      </c>
      <c r="M110" s="60" t="n">
        <f aca="false">IF(J110=0,"",IFERROR(SUMPRODUCT(Normalizacao!$AL$5:$AL$17,Pesos_Indicadores!$I$5:$I$17,((Pesos_Indicadores!$B$5:$B$17=$A$11)*I110+(Pesos_Indicadores!$B$5:$B$17&lt;&gt;$A$11)*Pesos_Indicadores!$G$5:$G$17*(1-I110)/(1-$B$11)),Normalizacao!$AK$5:$AK$17)/J110,""))</f>
        <v>0.832231778622714</v>
      </c>
      <c r="N110" s="17" t="str">
        <f aca="false">IF(K110="","",IF(INDEX(K110:M110,$B$5)&gt;=MAX(K110:M110),$B$4,INDEX(Pontuacao!$A$29:$A$31,MATCH(MAX(K110:M110),K110:M110,0))))</f>
        <v>Microsoft Azure</v>
      </c>
      <c r="O110" s="43" t="str">
        <f aca="false">IF(OR(N110="",N110=$B$4,ABS(I110-$B$11)&lt;0.000000001),"",ABS(I110-$B$11))</f>
        <v/>
      </c>
      <c r="Q110" s="60" t="n">
        <f aca="false">(ROW()-17)*$B$6</f>
        <v>0.465</v>
      </c>
      <c r="R110" s="43" t="n">
        <f aca="false">IFERROR(SUMPRODUCT(Normalizacao!$AL$5:$AL$17,Pesos_Indicadores!$I$5:$I$17,((Pesos_Indicadores!$B$5:$B$17=$A$12)*Q110+(Pesos_Indicadores!$B$5:$B$17&lt;&gt;$A$12)*Pesos_Indicadores!$G$5:$G$17*(1-Q110)/(1-$B$12))),0)</f>
        <v>0.938269230769231</v>
      </c>
      <c r="S110" s="60" t="n">
        <f aca="false">IF(R110=0,"",IFERROR(SUMPRODUCT(Normalizacao!$AL$5:$AL$17,Pesos_Indicadores!$I$5:$I$17,((Pesos_Indicadores!$B$5:$B$17=$A$12)*Q110+(Pesos_Indicadores!$B$5:$B$17&lt;&gt;$A$12)*Pesos_Indicadores!$G$5:$G$17*(1-Q110)/(1-$B$12)),Normalizacao!$AI$5:$AI$17)/R110,""))</f>
        <v>0.738209726877858</v>
      </c>
      <c r="T110" s="60" t="n">
        <f aca="false">IF(R110=0,"",IFERROR(SUMPRODUCT(Normalizacao!$AL$5:$AL$17,Pesos_Indicadores!$I$5:$I$17,((Pesos_Indicadores!$B$5:$B$17=$A$12)*Q110+(Pesos_Indicadores!$B$5:$B$17&lt;&gt;$A$12)*Pesos_Indicadores!$G$5:$G$17*(1-Q110)/(1-$B$12)),Normalizacao!$AJ$5:$AJ$17)/R110,""))</f>
        <v>0.811302331643156</v>
      </c>
      <c r="U110" s="60" t="n">
        <f aca="false">IF(R110=0,"",IFERROR(SUMPRODUCT(Normalizacao!$AL$5:$AL$17,Pesos_Indicadores!$I$5:$I$17,((Pesos_Indicadores!$B$5:$B$17=$A$12)*Q110+(Pesos_Indicadores!$B$5:$B$17&lt;&gt;$A$12)*Pesos_Indicadores!$G$5:$G$17*(1-Q110)/(1-$B$12)),Normalizacao!$AK$5:$AK$17)/R110,""))</f>
        <v>0.843718011507033</v>
      </c>
      <c r="V110" s="17" t="str">
        <f aca="false">IF(S110="","",IF(INDEX(S110:U110,$B$5)&gt;=MAX(S110:U110),$B$4,INDEX(Pontuacao!$A$29:$A$31,MATCH(MAX(S110:U110),S110:U110,0))))</f>
        <v>Microsoft Azure</v>
      </c>
      <c r="W110" s="43" t="str">
        <f aca="false">IF(OR(V110="",V110=$B$4,ABS(Q110-$B$12)&lt;0.000000001),"",ABS(Q110-$B$12))</f>
        <v/>
      </c>
    </row>
    <row r="111" customFormat="false" ht="15" hidden="false" customHeight="true" outlineLevel="0" collapsed="false">
      <c r="A111" s="60" t="n">
        <f aca="false">(ROW()-17)*$B$6</f>
        <v>0.47</v>
      </c>
      <c r="B111" s="43" t="n">
        <f aca="false">IFERROR(SUMPRODUCT(Normalizacao!$AL$5:$AL$17,Pesos_Indicadores!$I$5:$I$17,((Pesos_Indicadores!$B$5:$B$17=$A$10)*A111+(Pesos_Indicadores!$B$5:$B$17&lt;&gt;$A$10)*Pesos_Indicadores!$G$5:$G$17*(1-A111)/(1-$B$10))),0)</f>
        <v>0.987769230769231</v>
      </c>
      <c r="C111" s="60" t="n">
        <f aca="false">IF(B111=0,"",IFERROR(SUMPRODUCT(Normalizacao!$AL$5:$AL$17,Pesos_Indicadores!$I$5:$I$17,((Pesos_Indicadores!$B$5:$B$17=$A$10)*A111+(Pesos_Indicadores!$B$5:$B$17&lt;&gt;$A$10)*Pesos_Indicadores!$G$5:$G$17*(1-A111)/(1-$B$10)),Normalizacao!$AI$5:$AI$17)/B111,""))</f>
        <v>0.697848393758764</v>
      </c>
      <c r="D111" s="60" t="n">
        <f aca="false">IF(B111=0,"",IFERROR(SUMPRODUCT(Normalizacao!$AL$5:$AL$17,Pesos_Indicadores!$I$5:$I$17,((Pesos_Indicadores!$B$5:$B$17=$A$10)*A111+(Pesos_Indicadores!$B$5:$B$17&lt;&gt;$A$10)*Pesos_Indicadores!$G$5:$G$17*(1-A111)/(1-$B$10)),Normalizacao!$AJ$5:$AJ$17)/B111,""))</f>
        <v>0.819837062330917</v>
      </c>
      <c r="E111" s="60" t="n">
        <f aca="false">IF(B111=0,"",IFERROR(SUMPRODUCT(Normalizacao!$AL$5:$AL$17,Pesos_Indicadores!$I$5:$I$17,((Pesos_Indicadores!$B$5:$B$17=$A$10)*A111+(Pesos_Indicadores!$B$5:$B$17&lt;&gt;$A$10)*Pesos_Indicadores!$G$5:$G$17*(1-A111)/(1-$B$10)),Normalizacao!$AK$5:$AK$17)/B111,""))</f>
        <v>0.852540755983549</v>
      </c>
      <c r="F111" s="17" t="str">
        <f aca="false">IF(C111="","",IF(INDEX(C111:E111,$B$5)&gt;=MAX(C111:E111),$B$4,INDEX(Pontuacao!$A$29:$A$31,MATCH(MAX(C111:E111),C111:E111,0))))</f>
        <v>Microsoft Azure</v>
      </c>
      <c r="G111" s="43" t="str">
        <f aca="false">IF(OR(F111="",F111=$B$4,ABS(A111-$B$10)&lt;0.000000001),"",ABS(A111-$B$10))</f>
        <v/>
      </c>
      <c r="I111" s="60" t="n">
        <f aca="false">(ROW()-17)*$B$6</f>
        <v>0.47</v>
      </c>
      <c r="J111" s="43" t="n">
        <f aca="false">IFERROR(SUMPRODUCT(Normalizacao!$AL$5:$AL$17,Pesos_Indicadores!$I$5:$I$17,((Pesos_Indicadores!$B$5:$B$17=$A$11)*I111+(Pesos_Indicadores!$B$5:$B$17&lt;&gt;$A$11)*Pesos_Indicadores!$G$5:$G$17*(1-I111)/(1-$B$11))),0)</f>
        <v>0.891538461538462</v>
      </c>
      <c r="K111" s="60" t="n">
        <f aca="false">IF(J111=0,"",IFERROR(SUMPRODUCT(Normalizacao!$AL$5:$AL$17,Pesos_Indicadores!$I$5:$I$17,((Pesos_Indicadores!$B$5:$B$17=$A$11)*I111+(Pesos_Indicadores!$B$5:$B$17&lt;&gt;$A$11)*Pesos_Indicadores!$G$5:$G$17*(1-I111)/(1-$B$11)),Normalizacao!$AI$5:$AI$17)/J111,""))</f>
        <v>0.783520831400067</v>
      </c>
      <c r="L111" s="60" t="n">
        <f aca="false">IF(J111=0,"",IFERROR(SUMPRODUCT(Normalizacao!$AL$5:$AL$17,Pesos_Indicadores!$I$5:$I$17,((Pesos_Indicadores!$B$5:$B$17=$A$11)*I111+(Pesos_Indicadores!$B$5:$B$17&lt;&gt;$A$11)*Pesos_Indicadores!$G$5:$G$17*(1-I111)/(1-$B$11)),Normalizacao!$AJ$5:$AJ$17)/J111,""))</f>
        <v>0.798761812094384</v>
      </c>
      <c r="M111" s="60" t="n">
        <f aca="false">IF(J111=0,"",IFERROR(SUMPRODUCT(Normalizacao!$AL$5:$AL$17,Pesos_Indicadores!$I$5:$I$17,((Pesos_Indicadores!$B$5:$B$17=$A$11)*I111+(Pesos_Indicadores!$B$5:$B$17&lt;&gt;$A$11)*Pesos_Indicadores!$G$5:$G$17*(1-I111)/(1-$B$11)),Normalizacao!$AK$5:$AK$17)/J111,""))</f>
        <v>0.832372152497821</v>
      </c>
      <c r="N111" s="17" t="str">
        <f aca="false">IF(K111="","",IF(INDEX(K111:M111,$B$5)&gt;=MAX(K111:M111),$B$4,INDEX(Pontuacao!$A$29:$A$31,MATCH(MAX(K111:M111),K111:M111,0))))</f>
        <v>Microsoft Azure</v>
      </c>
      <c r="O111" s="43" t="str">
        <f aca="false">IF(OR(N111="",N111=$B$4,ABS(I111-$B$11)&lt;0.000000001),"",ABS(I111-$B$11))</f>
        <v/>
      </c>
      <c r="Q111" s="60" t="n">
        <f aca="false">(ROW()-17)*$B$6</f>
        <v>0.47</v>
      </c>
      <c r="R111" s="43" t="n">
        <f aca="false">IFERROR(SUMPRODUCT(Normalizacao!$AL$5:$AL$17,Pesos_Indicadores!$I$5:$I$17,((Pesos_Indicadores!$B$5:$B$17=$A$12)*Q111+(Pesos_Indicadores!$B$5:$B$17&lt;&gt;$A$12)*Pesos_Indicadores!$G$5:$G$17*(1-Q111)/(1-$B$12))),0)</f>
        <v>0.938846153846154</v>
      </c>
      <c r="S111" s="60" t="n">
        <f aca="false">IF(R111=0,"",IFERROR(SUMPRODUCT(Normalizacao!$AL$5:$AL$17,Pesos_Indicadores!$I$5:$I$17,((Pesos_Indicadores!$B$5:$B$17=$A$12)*Q111+(Pesos_Indicadores!$B$5:$B$17&lt;&gt;$A$12)*Pesos_Indicadores!$G$5:$G$17*(1-Q111)/(1-$B$12)),Normalizacao!$AI$5:$AI$17)/R111,""))</f>
        <v>0.738327093784012</v>
      </c>
      <c r="T111" s="60" t="n">
        <f aca="false">IF(R111=0,"",IFERROR(SUMPRODUCT(Normalizacao!$AL$5:$AL$17,Pesos_Indicadores!$I$5:$I$17,((Pesos_Indicadores!$B$5:$B$17=$A$12)*Q111+(Pesos_Indicadores!$B$5:$B$17&lt;&gt;$A$12)*Pesos_Indicadores!$G$5:$G$17*(1-Q111)/(1-$B$12)),Normalizacao!$AJ$5:$AJ$17)/R111,""))</f>
        <v>0.810692094294926</v>
      </c>
      <c r="U111" s="60" t="n">
        <f aca="false">IF(R111=0,"",IFERROR(SUMPRODUCT(Normalizacao!$AL$5:$AL$17,Pesos_Indicadores!$I$5:$I$17,((Pesos_Indicadores!$B$5:$B$17=$A$12)*Q111+(Pesos_Indicadores!$B$5:$B$17&lt;&gt;$A$12)*Pesos_Indicadores!$G$5:$G$17*(1-Q111)/(1-$B$12)),Normalizacao!$AK$5:$AK$17)/R111,""))</f>
        <v>0.84340725013714</v>
      </c>
      <c r="V111" s="17" t="str">
        <f aca="false">IF(S111="","",IF(INDEX(S111:U111,$B$5)&gt;=MAX(S111:U111),$B$4,INDEX(Pontuacao!$A$29:$A$31,MATCH(MAX(S111:U111),S111:U111,0))))</f>
        <v>Microsoft Azure</v>
      </c>
      <c r="W111" s="43" t="str">
        <f aca="false">IF(OR(V111="",V111=$B$4,ABS(Q111-$B$12)&lt;0.000000001),"",ABS(Q111-$B$12))</f>
        <v/>
      </c>
    </row>
    <row r="112" customFormat="false" ht="15" hidden="false" customHeight="true" outlineLevel="0" collapsed="false">
      <c r="A112" s="60" t="n">
        <f aca="false">(ROW()-17)*$B$6</f>
        <v>0.475</v>
      </c>
      <c r="B112" s="43" t="n">
        <f aca="false">IFERROR(SUMPRODUCT(Normalizacao!$AL$5:$AL$17,Pesos_Indicadores!$I$5:$I$17,((Pesos_Indicadores!$B$5:$B$17=$A$10)*A112+(Pesos_Indicadores!$B$5:$B$17&lt;&gt;$A$10)*Pesos_Indicadores!$G$5:$G$17*(1-A112)/(1-$B$10))),0)</f>
        <v>0.987884615384615</v>
      </c>
      <c r="C112" s="60" t="n">
        <f aca="false">IF(B112=0,"",IFERROR(SUMPRODUCT(Normalizacao!$AL$5:$AL$17,Pesos_Indicadores!$I$5:$I$17,((Pesos_Indicadores!$B$5:$B$17=$A$10)*A112+(Pesos_Indicadores!$B$5:$B$17&lt;&gt;$A$10)*Pesos_Indicadores!$G$5:$G$17*(1-A112)/(1-$B$10)),Normalizacao!$AI$5:$AI$17)/B112,""))</f>
        <v>0.697216908870852</v>
      </c>
      <c r="D112" s="60" t="n">
        <f aca="false">IF(B112=0,"",IFERROR(SUMPRODUCT(Normalizacao!$AL$5:$AL$17,Pesos_Indicadores!$I$5:$I$17,((Pesos_Indicadores!$B$5:$B$17=$A$10)*A112+(Pesos_Indicadores!$B$5:$B$17&lt;&gt;$A$10)*Pesos_Indicadores!$G$5:$G$17*(1-A112)/(1-$B$10)),Normalizacao!$AJ$5:$AJ$17)/B112,""))</f>
        <v>0.820488929420826</v>
      </c>
      <c r="E112" s="60" t="n">
        <f aca="false">IF(B112=0,"",IFERROR(SUMPRODUCT(Normalizacao!$AL$5:$AL$17,Pesos_Indicadores!$I$5:$I$17,((Pesos_Indicadores!$B$5:$B$17=$A$10)*A112+(Pesos_Indicadores!$B$5:$B$17&lt;&gt;$A$10)*Pesos_Indicadores!$G$5:$G$17*(1-A112)/(1-$B$10)),Normalizacao!$AK$5:$AK$17)/B112,""))</f>
        <v>0.852931229467116</v>
      </c>
      <c r="F112" s="17" t="str">
        <f aca="false">IF(C112="","",IF(INDEX(C112:E112,$B$5)&gt;=MAX(C112:E112),$B$4,INDEX(Pontuacao!$A$29:$A$31,MATCH(MAX(C112:E112),C112:E112,0))))</f>
        <v>Microsoft Azure</v>
      </c>
      <c r="G112" s="43" t="str">
        <f aca="false">IF(OR(F112="",F112=$B$4,ABS(A112-$B$10)&lt;0.000000001),"",ABS(A112-$B$10))</f>
        <v/>
      </c>
      <c r="I112" s="60" t="n">
        <f aca="false">(ROW()-17)*$B$6</f>
        <v>0.475</v>
      </c>
      <c r="J112" s="43" t="n">
        <f aca="false">IFERROR(SUMPRODUCT(Normalizacao!$AL$5:$AL$17,Pesos_Indicadores!$I$5:$I$17,((Pesos_Indicadores!$B$5:$B$17=$A$11)*I112+(Pesos_Indicadores!$B$5:$B$17&lt;&gt;$A$11)*Pesos_Indicadores!$G$5:$G$17*(1-I112)/(1-$B$11))),0)</f>
        <v>0.890384615384615</v>
      </c>
      <c r="K112" s="60" t="n">
        <f aca="false">IF(J112=0,"",IFERROR(SUMPRODUCT(Normalizacao!$AL$5:$AL$17,Pesos_Indicadores!$I$5:$I$17,((Pesos_Indicadores!$B$5:$B$17=$A$11)*I112+(Pesos_Indicadores!$B$5:$B$17&lt;&gt;$A$11)*Pesos_Indicadores!$G$5:$G$17*(1-I112)/(1-$B$11)),Normalizacao!$AI$5:$AI$17)/J112,""))</f>
        <v>0.784062655994386</v>
      </c>
      <c r="L112" s="60" t="n">
        <f aca="false">IF(J112=0,"",IFERROR(SUMPRODUCT(Normalizacao!$AL$5:$AL$17,Pesos_Indicadores!$I$5:$I$17,((Pesos_Indicadores!$B$5:$B$17=$A$11)*I112+(Pesos_Indicadores!$B$5:$B$17&lt;&gt;$A$11)*Pesos_Indicadores!$G$5:$G$17*(1-I112)/(1-$B$11)),Normalizacao!$AJ$5:$AJ$17)/J112,""))</f>
        <v>0.799179418255235</v>
      </c>
      <c r="M112" s="60" t="n">
        <f aca="false">IF(J112=0,"",IFERROR(SUMPRODUCT(Normalizacao!$AL$5:$AL$17,Pesos_Indicadores!$I$5:$I$17,((Pesos_Indicadores!$B$5:$B$17=$A$11)*I112+(Pesos_Indicadores!$B$5:$B$17&lt;&gt;$A$11)*Pesos_Indicadores!$G$5:$G$17*(1-I112)/(1-$B$11)),Normalizacao!$AK$5:$AK$17)/J112,""))</f>
        <v>0.832512890192907</v>
      </c>
      <c r="N112" s="17" t="str">
        <f aca="false">IF(K112="","",IF(INDEX(K112:M112,$B$5)&gt;=MAX(K112:M112),$B$4,INDEX(Pontuacao!$A$29:$A$31,MATCH(MAX(K112:M112),K112:M112,0))))</f>
        <v>Microsoft Azure</v>
      </c>
      <c r="O112" s="43" t="str">
        <f aca="false">IF(OR(N112="",N112=$B$4,ABS(I112-$B$11)&lt;0.000000001),"",ABS(I112-$B$11))</f>
        <v/>
      </c>
      <c r="Q112" s="60" t="n">
        <f aca="false">(ROW()-17)*$B$6</f>
        <v>0.475</v>
      </c>
      <c r="R112" s="43" t="n">
        <f aca="false">IFERROR(SUMPRODUCT(Normalizacao!$AL$5:$AL$17,Pesos_Indicadores!$I$5:$I$17,((Pesos_Indicadores!$B$5:$B$17=$A$12)*Q112+(Pesos_Indicadores!$B$5:$B$17&lt;&gt;$A$12)*Pesos_Indicadores!$G$5:$G$17*(1-Q112)/(1-$B$12))),0)</f>
        <v>0.939423076923077</v>
      </c>
      <c r="S112" s="60" t="n">
        <f aca="false">IF(R112=0,"",IFERROR(SUMPRODUCT(Normalizacao!$AL$5:$AL$17,Pesos_Indicadores!$I$5:$I$17,((Pesos_Indicadores!$B$5:$B$17=$A$12)*Q112+(Pesos_Indicadores!$B$5:$B$17&lt;&gt;$A$12)*Pesos_Indicadores!$G$5:$G$17*(1-Q112)/(1-$B$12)),Normalizacao!$AI$5:$AI$17)/R112,""))</f>
        <v>0.738444316534293</v>
      </c>
      <c r="T112" s="60" t="n">
        <f aca="false">IF(R112=0,"",IFERROR(SUMPRODUCT(Normalizacao!$AL$5:$AL$17,Pesos_Indicadores!$I$5:$I$17,((Pesos_Indicadores!$B$5:$B$17=$A$12)*Q112+(Pesos_Indicadores!$B$5:$B$17&lt;&gt;$A$12)*Pesos_Indicadores!$G$5:$G$17*(1-Q112)/(1-$B$12)),Normalizacao!$AJ$5:$AJ$17)/R112,""))</f>
        <v>0.810082606470562</v>
      </c>
      <c r="U112" s="60" t="n">
        <f aca="false">IF(R112=0,"",IFERROR(SUMPRODUCT(Normalizacao!$AL$5:$AL$17,Pesos_Indicadores!$I$5:$I$17,((Pesos_Indicadores!$B$5:$B$17=$A$12)*Q112+(Pesos_Indicadores!$B$5:$B$17&lt;&gt;$A$12)*Pesos_Indicadores!$G$5:$G$17*(1-Q112)/(1-$B$12)),Normalizacao!$AK$5:$AK$17)/R112,""))</f>
        <v>0.84309687045982</v>
      </c>
      <c r="V112" s="17" t="str">
        <f aca="false">IF(S112="","",IF(INDEX(S112:U112,$B$5)&gt;=MAX(S112:U112),$B$4,INDEX(Pontuacao!$A$29:$A$31,MATCH(MAX(S112:U112),S112:U112,0))))</f>
        <v>Microsoft Azure</v>
      </c>
      <c r="W112" s="43" t="str">
        <f aca="false">IF(OR(V112="",V112=$B$4,ABS(Q112-$B$12)&lt;0.000000001),"",ABS(Q112-$B$12))</f>
        <v/>
      </c>
    </row>
    <row r="113" customFormat="false" ht="15" hidden="false" customHeight="true" outlineLevel="0" collapsed="false">
      <c r="A113" s="60" t="n">
        <f aca="false">(ROW()-17)*$B$6</f>
        <v>0.48</v>
      </c>
      <c r="B113" s="43" t="n">
        <f aca="false">IFERROR(SUMPRODUCT(Normalizacao!$AL$5:$AL$17,Pesos_Indicadores!$I$5:$I$17,((Pesos_Indicadores!$B$5:$B$17=$A$10)*A113+(Pesos_Indicadores!$B$5:$B$17&lt;&gt;$A$10)*Pesos_Indicadores!$G$5:$G$17*(1-A113)/(1-$B$10))),0)</f>
        <v>0.988</v>
      </c>
      <c r="C113" s="60" t="n">
        <f aca="false">IF(B113=0,"",IFERROR(SUMPRODUCT(Normalizacao!$AL$5:$AL$17,Pesos_Indicadores!$I$5:$I$17,((Pesos_Indicadores!$B$5:$B$17=$A$10)*A113+(Pesos_Indicadores!$B$5:$B$17&lt;&gt;$A$10)*Pesos_Indicadores!$G$5:$G$17*(1-A113)/(1-$B$10)),Normalizacao!$AI$5:$AI$17)/B113,""))</f>
        <v>0.696585571480188</v>
      </c>
      <c r="D113" s="60" t="n">
        <f aca="false">IF(B113=0,"",IFERROR(SUMPRODUCT(Normalizacao!$AL$5:$AL$17,Pesos_Indicadores!$I$5:$I$17,((Pesos_Indicadores!$B$5:$B$17=$A$10)*A113+(Pesos_Indicadores!$B$5:$B$17&lt;&gt;$A$10)*Pesos_Indicadores!$G$5:$G$17*(1-A113)/(1-$B$10)),Normalizacao!$AJ$5:$AJ$17)/B113,""))</f>
        <v>0.821140644252772</v>
      </c>
      <c r="E113" s="60" t="n">
        <f aca="false">IF(B113=0,"",IFERROR(SUMPRODUCT(Normalizacao!$AL$5:$AL$17,Pesos_Indicadores!$I$5:$I$17,((Pesos_Indicadores!$B$5:$B$17=$A$10)*A113+(Pesos_Indicadores!$B$5:$B$17&lt;&gt;$A$10)*Pesos_Indicadores!$G$5:$G$17*(1-A113)/(1-$B$10)),Normalizacao!$AK$5:$AK$17)/B113,""))</f>
        <v>0.853321611746974</v>
      </c>
      <c r="F113" s="17" t="str">
        <f aca="false">IF(C113="","",IF(INDEX(C113:E113,$B$5)&gt;=MAX(C113:E113),$B$4,INDEX(Pontuacao!$A$29:$A$31,MATCH(MAX(C113:E113),C113:E113,0))))</f>
        <v>Microsoft Azure</v>
      </c>
      <c r="G113" s="43" t="str">
        <f aca="false">IF(OR(F113="",F113=$B$4,ABS(A113-$B$10)&lt;0.000000001),"",ABS(A113-$B$10))</f>
        <v/>
      </c>
      <c r="I113" s="60" t="n">
        <f aca="false">(ROW()-17)*$B$6</f>
        <v>0.48</v>
      </c>
      <c r="J113" s="43" t="n">
        <f aca="false">IFERROR(SUMPRODUCT(Normalizacao!$AL$5:$AL$17,Pesos_Indicadores!$I$5:$I$17,((Pesos_Indicadores!$B$5:$B$17=$A$11)*I113+(Pesos_Indicadores!$B$5:$B$17&lt;&gt;$A$11)*Pesos_Indicadores!$G$5:$G$17*(1-I113)/(1-$B$11))),0)</f>
        <v>0.889230769230769</v>
      </c>
      <c r="K113" s="60" t="n">
        <f aca="false">IF(J113=0,"",IFERROR(SUMPRODUCT(Normalizacao!$AL$5:$AL$17,Pesos_Indicadores!$I$5:$I$17,((Pesos_Indicadores!$B$5:$B$17=$A$11)*I113+(Pesos_Indicadores!$B$5:$B$17&lt;&gt;$A$11)*Pesos_Indicadores!$G$5:$G$17*(1-I113)/(1-$B$11)),Normalizacao!$AI$5:$AI$17)/J113,""))</f>
        <v>0.784605886707894</v>
      </c>
      <c r="L113" s="60" t="n">
        <f aca="false">IF(J113=0,"",IFERROR(SUMPRODUCT(Normalizacao!$AL$5:$AL$17,Pesos_Indicadores!$I$5:$I$17,((Pesos_Indicadores!$B$5:$B$17=$A$11)*I113+(Pesos_Indicadores!$B$5:$B$17&lt;&gt;$A$11)*Pesos_Indicadores!$G$5:$G$17*(1-I113)/(1-$B$11)),Normalizacao!$AJ$5:$AJ$17)/J113,""))</f>
        <v>0.799598108169099</v>
      </c>
      <c r="M113" s="60" t="n">
        <f aca="false">IF(J113=0,"",IFERROR(SUMPRODUCT(Normalizacao!$AL$5:$AL$17,Pesos_Indicadores!$I$5:$I$17,((Pesos_Indicadores!$B$5:$B$17=$A$11)*I113+(Pesos_Indicadores!$B$5:$B$17&lt;&gt;$A$11)*Pesos_Indicadores!$G$5:$G$17*(1-I113)/(1-$B$11)),Normalizacao!$AK$5:$AK$17)/J113,""))</f>
        <v>0.832653993124226</v>
      </c>
      <c r="N113" s="17" t="str">
        <f aca="false">IF(K113="","",IF(INDEX(K113:M113,$B$5)&gt;=MAX(K113:M113),$B$4,INDEX(Pontuacao!$A$29:$A$31,MATCH(MAX(K113:M113),K113:M113,0))))</f>
        <v>Microsoft Azure</v>
      </c>
      <c r="O113" s="43" t="str">
        <f aca="false">IF(OR(N113="",N113=$B$4,ABS(I113-$B$11)&lt;0.000000001),"",ABS(I113-$B$11))</f>
        <v/>
      </c>
      <c r="Q113" s="60" t="n">
        <f aca="false">(ROW()-17)*$B$6</f>
        <v>0.48</v>
      </c>
      <c r="R113" s="43" t="n">
        <f aca="false">IFERROR(SUMPRODUCT(Normalizacao!$AL$5:$AL$17,Pesos_Indicadores!$I$5:$I$17,((Pesos_Indicadores!$B$5:$B$17=$A$12)*Q113+(Pesos_Indicadores!$B$5:$B$17&lt;&gt;$A$12)*Pesos_Indicadores!$G$5:$G$17*(1-Q113)/(1-$B$12))),0)</f>
        <v>0.94</v>
      </c>
      <c r="S113" s="60" t="n">
        <f aca="false">IF(R113=0,"",IFERROR(SUMPRODUCT(Normalizacao!$AL$5:$AL$17,Pesos_Indicadores!$I$5:$I$17,((Pesos_Indicadores!$B$5:$B$17=$A$12)*Q113+(Pesos_Indicadores!$B$5:$B$17&lt;&gt;$A$12)*Pesos_Indicadores!$G$5:$G$17*(1-Q113)/(1-$B$12)),Normalizacao!$AI$5:$AI$17)/R113,""))</f>
        <v>0.738561395394128</v>
      </c>
      <c r="T113" s="60" t="n">
        <f aca="false">IF(R113=0,"",IFERROR(SUMPRODUCT(Normalizacao!$AL$5:$AL$17,Pesos_Indicadores!$I$5:$I$17,((Pesos_Indicadores!$B$5:$B$17=$A$12)*Q113+(Pesos_Indicadores!$B$5:$B$17&lt;&gt;$A$12)*Pesos_Indicadores!$G$5:$G$17*(1-Q113)/(1-$B$12)),Normalizacao!$AJ$5:$AJ$17)/R113,""))</f>
        <v>0.809473866790009</v>
      </c>
      <c r="U113" s="60" t="n">
        <f aca="false">IF(R113=0,"",IFERROR(SUMPRODUCT(Normalizacao!$AL$5:$AL$17,Pesos_Indicadores!$I$5:$I$17,((Pesos_Indicadores!$B$5:$B$17=$A$12)*Q113+(Pesos_Indicadores!$B$5:$B$17&lt;&gt;$A$12)*Pesos_Indicadores!$G$5:$G$17*(1-Q113)/(1-$B$12)),Normalizacao!$AK$5:$AK$17)/R113,""))</f>
        <v>0.842786871772284</v>
      </c>
      <c r="V113" s="17" t="str">
        <f aca="false">IF(S113="","",IF(INDEX(S113:U113,$B$5)&gt;=MAX(S113:U113),$B$4,INDEX(Pontuacao!$A$29:$A$31,MATCH(MAX(S113:U113),S113:U113,0))))</f>
        <v>Microsoft Azure</v>
      </c>
      <c r="W113" s="43" t="str">
        <f aca="false">IF(OR(V113="",V113=$B$4,ABS(Q113-$B$12)&lt;0.000000001),"",ABS(Q113-$B$12))</f>
        <v/>
      </c>
    </row>
    <row r="114" customFormat="false" ht="15" hidden="false" customHeight="true" outlineLevel="0" collapsed="false">
      <c r="A114" s="60" t="n">
        <f aca="false">(ROW()-17)*$B$6</f>
        <v>0.485</v>
      </c>
      <c r="B114" s="43" t="n">
        <f aca="false">IFERROR(SUMPRODUCT(Normalizacao!$AL$5:$AL$17,Pesos_Indicadores!$I$5:$I$17,((Pesos_Indicadores!$B$5:$B$17=$A$10)*A114+(Pesos_Indicadores!$B$5:$B$17&lt;&gt;$A$10)*Pesos_Indicadores!$G$5:$G$17*(1-A114)/(1-$B$10))),0)</f>
        <v>0.988115384615385</v>
      </c>
      <c r="C114" s="60" t="n">
        <f aca="false">IF(B114=0,"",IFERROR(SUMPRODUCT(Normalizacao!$AL$5:$AL$17,Pesos_Indicadores!$I$5:$I$17,((Pesos_Indicadores!$B$5:$B$17=$A$10)*A114+(Pesos_Indicadores!$B$5:$B$17&lt;&gt;$A$10)*Pesos_Indicadores!$G$5:$G$17*(1-A114)/(1-$B$10)),Normalizacao!$AI$5:$AI$17)/B114,""))</f>
        <v>0.695954381535102</v>
      </c>
      <c r="D114" s="60" t="n">
        <f aca="false">IF(B114=0,"",IFERROR(SUMPRODUCT(Normalizacao!$AL$5:$AL$17,Pesos_Indicadores!$I$5:$I$17,((Pesos_Indicadores!$B$5:$B$17=$A$10)*A114+(Pesos_Indicadores!$B$5:$B$17&lt;&gt;$A$10)*Pesos_Indicadores!$G$5:$G$17*(1-A114)/(1-$B$10)),Normalizacao!$AJ$5:$AJ$17)/B114,""))</f>
        <v>0.821792206880095</v>
      </c>
      <c r="E114" s="60" t="n">
        <f aca="false">IF(B114=0,"",IFERROR(SUMPRODUCT(Normalizacao!$AL$5:$AL$17,Pesos_Indicadores!$I$5:$I$17,((Pesos_Indicadores!$B$5:$B$17=$A$10)*A114+(Pesos_Indicadores!$B$5:$B$17&lt;&gt;$A$10)*Pesos_Indicadores!$G$5:$G$17*(1-A114)/(1-$B$10)),Normalizacao!$AK$5:$AK$17)/B114,""))</f>
        <v>0.853711902855071</v>
      </c>
      <c r="F114" s="17" t="str">
        <f aca="false">IF(C114="","",IF(INDEX(C114:E114,$B$5)&gt;=MAX(C114:E114),$B$4,INDEX(Pontuacao!$A$29:$A$31,MATCH(MAX(C114:E114),C114:E114,0))))</f>
        <v>Microsoft Azure</v>
      </c>
      <c r="G114" s="43" t="str">
        <f aca="false">IF(OR(F114="",F114=$B$4,ABS(A114-$B$10)&lt;0.000000001),"",ABS(A114-$B$10))</f>
        <v/>
      </c>
      <c r="I114" s="60" t="n">
        <f aca="false">(ROW()-17)*$B$6</f>
        <v>0.485</v>
      </c>
      <c r="J114" s="43" t="n">
        <f aca="false">IFERROR(SUMPRODUCT(Normalizacao!$AL$5:$AL$17,Pesos_Indicadores!$I$5:$I$17,((Pesos_Indicadores!$B$5:$B$17=$A$11)*I114+(Pesos_Indicadores!$B$5:$B$17&lt;&gt;$A$11)*Pesos_Indicadores!$G$5:$G$17*(1-I114)/(1-$B$11))),0)</f>
        <v>0.888076923076923</v>
      </c>
      <c r="K114" s="60" t="n">
        <f aca="false">IF(J114=0,"",IFERROR(SUMPRODUCT(Normalizacao!$AL$5:$AL$17,Pesos_Indicadores!$I$5:$I$17,((Pesos_Indicadores!$B$5:$B$17=$A$11)*I114+(Pesos_Indicadores!$B$5:$B$17&lt;&gt;$A$11)*Pesos_Indicadores!$G$5:$G$17*(1-I114)/(1-$B$11)),Normalizacao!$AI$5:$AI$17)/J114,""))</f>
        <v>0.78515052902135</v>
      </c>
      <c r="L114" s="60" t="n">
        <f aca="false">IF(J114=0,"",IFERROR(SUMPRODUCT(Normalizacao!$AL$5:$AL$17,Pesos_Indicadores!$I$5:$I$17,((Pesos_Indicadores!$B$5:$B$17=$A$11)*I114+(Pesos_Indicadores!$B$5:$B$17&lt;&gt;$A$11)*Pesos_Indicadores!$G$5:$G$17*(1-I114)/(1-$B$11)),Normalizacao!$AJ$5:$AJ$17)/J114,""))</f>
        <v>0.800017886060218</v>
      </c>
      <c r="M114" s="60" t="n">
        <f aca="false">IF(J114=0,"",IFERROR(SUMPRODUCT(Normalizacao!$AL$5:$AL$17,Pesos_Indicadores!$I$5:$I$17,((Pesos_Indicadores!$B$5:$B$17=$A$11)*I114+(Pesos_Indicadores!$B$5:$B$17&lt;&gt;$A$11)*Pesos_Indicadores!$G$5:$G$17*(1-I114)/(1-$B$11)),Normalizacao!$AK$5:$AK$17)/J114,""))</f>
        <v>0.832795462715393</v>
      </c>
      <c r="N114" s="17" t="str">
        <f aca="false">IF(K114="","",IF(INDEX(K114:M114,$B$5)&gt;=MAX(K114:M114),$B$4,INDEX(Pontuacao!$A$29:$A$31,MATCH(MAX(K114:M114),K114:M114,0))))</f>
        <v>Microsoft Azure</v>
      </c>
      <c r="O114" s="43" t="str">
        <f aca="false">IF(OR(N114="",N114=$B$4,ABS(I114-$B$11)&lt;0.000000001),"",ABS(I114-$B$11))</f>
        <v/>
      </c>
      <c r="Q114" s="60" t="n">
        <f aca="false">(ROW()-17)*$B$6</f>
        <v>0.485</v>
      </c>
      <c r="R114" s="43" t="n">
        <f aca="false">IFERROR(SUMPRODUCT(Normalizacao!$AL$5:$AL$17,Pesos_Indicadores!$I$5:$I$17,((Pesos_Indicadores!$B$5:$B$17=$A$12)*Q114+(Pesos_Indicadores!$B$5:$B$17&lt;&gt;$A$12)*Pesos_Indicadores!$G$5:$G$17*(1-Q114)/(1-$B$12))),0)</f>
        <v>0.940576923076923</v>
      </c>
      <c r="S114" s="60" t="n">
        <f aca="false">IF(R114=0,"",IFERROR(SUMPRODUCT(Normalizacao!$AL$5:$AL$17,Pesos_Indicadores!$I$5:$I$17,((Pesos_Indicadores!$B$5:$B$17=$A$12)*Q114+(Pesos_Indicadores!$B$5:$B$17&lt;&gt;$A$12)*Pesos_Indicadores!$G$5:$G$17*(1-Q114)/(1-$B$12)),Normalizacao!$AI$5:$AI$17)/R114,""))</f>
        <v>0.738678330628292</v>
      </c>
      <c r="T114" s="60" t="n">
        <f aca="false">IF(R114=0,"",IFERROR(SUMPRODUCT(Normalizacao!$AL$5:$AL$17,Pesos_Indicadores!$I$5:$I$17,((Pesos_Indicadores!$B$5:$B$17=$A$12)*Q114+(Pesos_Indicadores!$B$5:$B$17&lt;&gt;$A$12)*Pesos_Indicadores!$G$5:$G$17*(1-Q114)/(1-$B$12)),Normalizacao!$AJ$5:$AJ$17)/R114,""))</f>
        <v>0.808865873876597</v>
      </c>
      <c r="U114" s="60" t="n">
        <f aca="false">IF(R114=0,"",IFERROR(SUMPRODUCT(Normalizacao!$AL$5:$AL$17,Pesos_Indicadores!$I$5:$I$17,((Pesos_Indicadores!$B$5:$B$17=$A$12)*Q114+(Pesos_Indicadores!$B$5:$B$17&lt;&gt;$A$12)*Pesos_Indicadores!$G$5:$G$17*(1-Q114)/(1-$B$12)),Normalizacao!$AK$5:$AK$17)/R114,""))</f>
        <v>0.842477253373467</v>
      </c>
      <c r="V114" s="17" t="str">
        <f aca="false">IF(S114="","",IF(INDEX(S114:U114,$B$5)&gt;=MAX(S114:U114),$B$4,INDEX(Pontuacao!$A$29:$A$31,MATCH(MAX(S114:U114),S114:U114,0))))</f>
        <v>Microsoft Azure</v>
      </c>
      <c r="W114" s="43" t="str">
        <f aca="false">IF(OR(V114="",V114=$B$4,ABS(Q114-$B$12)&lt;0.000000001),"",ABS(Q114-$B$12))</f>
        <v/>
      </c>
    </row>
    <row r="115" customFormat="false" ht="15" hidden="false" customHeight="true" outlineLevel="0" collapsed="false">
      <c r="A115" s="60" t="n">
        <f aca="false">(ROW()-17)*$B$6</f>
        <v>0.49</v>
      </c>
      <c r="B115" s="43" t="n">
        <f aca="false">IFERROR(SUMPRODUCT(Normalizacao!$AL$5:$AL$17,Pesos_Indicadores!$I$5:$I$17,((Pesos_Indicadores!$B$5:$B$17=$A$10)*A115+(Pesos_Indicadores!$B$5:$B$17&lt;&gt;$A$10)*Pesos_Indicadores!$G$5:$G$17*(1-A115)/(1-$B$10))),0)</f>
        <v>0.988230769230769</v>
      </c>
      <c r="C115" s="60" t="n">
        <f aca="false">IF(B115=0,"",IFERROR(SUMPRODUCT(Normalizacao!$AL$5:$AL$17,Pesos_Indicadores!$I$5:$I$17,((Pesos_Indicadores!$B$5:$B$17=$A$10)*A115+(Pesos_Indicadores!$B$5:$B$17&lt;&gt;$A$10)*Pesos_Indicadores!$G$5:$G$17*(1-A115)/(1-$B$10)),Normalizacao!$AI$5:$AI$17)/B115,""))</f>
        <v>0.695323338983948</v>
      </c>
      <c r="D115" s="60" t="n">
        <f aca="false">IF(B115=0,"",IFERROR(SUMPRODUCT(Normalizacao!$AL$5:$AL$17,Pesos_Indicadores!$I$5:$I$17,((Pesos_Indicadores!$B$5:$B$17=$A$10)*A115+(Pesos_Indicadores!$B$5:$B$17&lt;&gt;$A$10)*Pesos_Indicadores!$G$5:$G$17*(1-A115)/(1-$B$10)),Normalizacao!$AJ$5:$AJ$17)/B115,""))</f>
        <v>0.822443617356108</v>
      </c>
      <c r="E115" s="60" t="n">
        <f aca="false">IF(B115=0,"",IFERROR(SUMPRODUCT(Normalizacao!$AL$5:$AL$17,Pesos_Indicadores!$I$5:$I$17,((Pesos_Indicadores!$B$5:$B$17=$A$10)*A115+(Pesos_Indicadores!$B$5:$B$17&lt;&gt;$A$10)*Pesos_Indicadores!$G$5:$G$17*(1-A115)/(1-$B$10)),Normalizacao!$AK$5:$AK$17)/B115,""))</f>
        <v>0.854102102823344</v>
      </c>
      <c r="F115" s="17" t="str">
        <f aca="false">IF(C115="","",IF(INDEX(C115:E115,$B$5)&gt;=MAX(C115:E115),$B$4,INDEX(Pontuacao!$A$29:$A$31,MATCH(MAX(C115:E115),C115:E115,0))))</f>
        <v>Microsoft Azure</v>
      </c>
      <c r="G115" s="43" t="str">
        <f aca="false">IF(OR(F115="",F115=$B$4,ABS(A115-$B$10)&lt;0.000000001),"",ABS(A115-$B$10))</f>
        <v/>
      </c>
      <c r="I115" s="60" t="n">
        <f aca="false">(ROW()-17)*$B$6</f>
        <v>0.49</v>
      </c>
      <c r="J115" s="43" t="n">
        <f aca="false">IFERROR(SUMPRODUCT(Normalizacao!$AL$5:$AL$17,Pesos_Indicadores!$I$5:$I$17,((Pesos_Indicadores!$B$5:$B$17=$A$11)*I115+(Pesos_Indicadores!$B$5:$B$17&lt;&gt;$A$11)*Pesos_Indicadores!$G$5:$G$17*(1-I115)/(1-$B$11))),0)</f>
        <v>0.886923076923077</v>
      </c>
      <c r="K115" s="60" t="n">
        <f aca="false">IF(J115=0,"",IFERROR(SUMPRODUCT(Normalizacao!$AL$5:$AL$17,Pesos_Indicadores!$I$5:$I$17,((Pesos_Indicadores!$B$5:$B$17=$A$11)*I115+(Pesos_Indicadores!$B$5:$B$17&lt;&gt;$A$11)*Pesos_Indicadores!$G$5:$G$17*(1-I115)/(1-$B$11)),Normalizacao!$AI$5:$AI$17)/J115,""))</f>
        <v>0.785696588444035</v>
      </c>
      <c r="L115" s="60" t="n">
        <f aca="false">IF(J115=0,"",IFERROR(SUMPRODUCT(Normalizacao!$AL$5:$AL$17,Pesos_Indicadores!$I$5:$I$17,((Pesos_Indicadores!$B$5:$B$17=$A$11)*I115+(Pesos_Indicadores!$B$5:$B$17&lt;&gt;$A$11)*Pesos_Indicadores!$G$5:$G$17*(1-I115)/(1-$B$11)),Normalizacao!$AJ$5:$AJ$17)/J115,""))</f>
        <v>0.800438756174818</v>
      </c>
      <c r="M115" s="60" t="n">
        <f aca="false">IF(J115=0,"",IFERROR(SUMPRODUCT(Normalizacao!$AL$5:$AL$17,Pesos_Indicadores!$I$5:$I$17,((Pesos_Indicadores!$B$5:$B$17=$A$11)*I115+(Pesos_Indicadores!$B$5:$B$17&lt;&gt;$A$11)*Pesos_Indicadores!$G$5:$G$17*(1-I115)/(1-$B$11)),Normalizacao!$AK$5:$AK$17)/J115,""))</f>
        <v>0.832937300397429</v>
      </c>
      <c r="N115" s="17" t="str">
        <f aca="false">IF(K115="","",IF(INDEX(K115:M115,$B$5)&gt;=MAX(K115:M115),$B$4,INDEX(Pontuacao!$A$29:$A$31,MATCH(MAX(K115:M115),K115:M115,0))))</f>
        <v>Microsoft Azure</v>
      </c>
      <c r="O115" s="43" t="str">
        <f aca="false">IF(OR(N115="",N115=$B$4,ABS(I115-$B$11)&lt;0.000000001),"",ABS(I115-$B$11))</f>
        <v/>
      </c>
      <c r="Q115" s="60" t="n">
        <f aca="false">(ROW()-17)*$B$6</f>
        <v>0.49</v>
      </c>
      <c r="R115" s="43" t="n">
        <f aca="false">IFERROR(SUMPRODUCT(Normalizacao!$AL$5:$AL$17,Pesos_Indicadores!$I$5:$I$17,((Pesos_Indicadores!$B$5:$B$17=$A$12)*Q115+(Pesos_Indicadores!$B$5:$B$17&lt;&gt;$A$12)*Pesos_Indicadores!$G$5:$G$17*(1-Q115)/(1-$B$12))),0)</f>
        <v>0.941153846153846</v>
      </c>
      <c r="S115" s="60" t="n">
        <f aca="false">IF(R115=0,"",IFERROR(SUMPRODUCT(Normalizacao!$AL$5:$AL$17,Pesos_Indicadores!$I$5:$I$17,((Pesos_Indicadores!$B$5:$B$17=$A$12)*Q115+(Pesos_Indicadores!$B$5:$B$17&lt;&gt;$A$12)*Pesos_Indicadores!$G$5:$G$17*(1-Q115)/(1-$B$12)),Normalizacao!$AI$5:$AI$17)/R115,""))</f>
        <v>0.738795122500909</v>
      </c>
      <c r="T115" s="60" t="n">
        <f aca="false">IF(R115=0,"",IFERROR(SUMPRODUCT(Normalizacao!$AL$5:$AL$17,Pesos_Indicadores!$I$5:$I$17,((Pesos_Indicadores!$B$5:$B$17=$A$12)*Q115+(Pesos_Indicadores!$B$5:$B$17&lt;&gt;$A$12)*Pesos_Indicadores!$G$5:$G$17*(1-Q115)/(1-$B$12)),Normalizacao!$AJ$5:$AJ$17)/R115,""))</f>
        <v>0.80825862635703</v>
      </c>
      <c r="U115" s="60" t="n">
        <f aca="false">IF(R115=0,"",IFERROR(SUMPRODUCT(Normalizacao!$AL$5:$AL$17,Pesos_Indicadores!$I$5:$I$17,((Pesos_Indicadores!$B$5:$B$17=$A$12)*Q115+(Pesos_Indicadores!$B$5:$B$17&lt;&gt;$A$12)*Pesos_Indicadores!$G$5:$G$17*(1-Q115)/(1-$B$12)),Normalizacao!$AK$5:$AK$17)/R115,""))</f>
        <v>0.842168014564023</v>
      </c>
      <c r="V115" s="17" t="str">
        <f aca="false">IF(S115="","",IF(INDEX(S115:U115,$B$5)&gt;=MAX(S115:U115),$B$4,INDEX(Pontuacao!$A$29:$A$31,MATCH(MAX(S115:U115),S115:U115,0))))</f>
        <v>Microsoft Azure</v>
      </c>
      <c r="W115" s="43" t="str">
        <f aca="false">IF(OR(V115="",V115=$B$4,ABS(Q115-$B$12)&lt;0.000000001),"",ABS(Q115-$B$12))</f>
        <v/>
      </c>
    </row>
    <row r="116" customFormat="false" ht="15" hidden="false" customHeight="true" outlineLevel="0" collapsed="false">
      <c r="A116" s="60" t="n">
        <f aca="false">(ROW()-17)*$B$6</f>
        <v>0.495</v>
      </c>
      <c r="B116" s="43" t="n">
        <f aca="false">IFERROR(SUMPRODUCT(Normalizacao!$AL$5:$AL$17,Pesos_Indicadores!$I$5:$I$17,((Pesos_Indicadores!$B$5:$B$17=$A$10)*A116+(Pesos_Indicadores!$B$5:$B$17&lt;&gt;$A$10)*Pesos_Indicadores!$G$5:$G$17*(1-A116)/(1-$B$10))),0)</f>
        <v>0.988346153846154</v>
      </c>
      <c r="C116" s="60" t="n">
        <f aca="false">IF(B116=0,"",IFERROR(SUMPRODUCT(Normalizacao!$AL$5:$AL$17,Pesos_Indicadores!$I$5:$I$17,((Pesos_Indicadores!$B$5:$B$17=$A$10)*A116+(Pesos_Indicadores!$B$5:$B$17&lt;&gt;$A$10)*Pesos_Indicadores!$G$5:$G$17*(1-A116)/(1-$B$10)),Normalizacao!$AI$5:$AI$17)/B116,""))</f>
        <v>0.694692443775102</v>
      </c>
      <c r="D116" s="60" t="n">
        <f aca="false">IF(B116=0,"",IFERROR(SUMPRODUCT(Normalizacao!$AL$5:$AL$17,Pesos_Indicadores!$I$5:$I$17,((Pesos_Indicadores!$B$5:$B$17=$A$10)*A116+(Pesos_Indicadores!$B$5:$B$17&lt;&gt;$A$10)*Pesos_Indicadores!$G$5:$G$17*(1-A116)/(1-$B$10)),Normalizacao!$AJ$5:$AJ$17)/B116,""))</f>
        <v>0.823094875734099</v>
      </c>
      <c r="E116" s="60" t="n">
        <f aca="false">IF(B116=0,"",IFERROR(SUMPRODUCT(Normalizacao!$AL$5:$AL$17,Pesos_Indicadores!$I$5:$I$17,((Pesos_Indicadores!$B$5:$B$17=$A$10)*A116+(Pesos_Indicadores!$B$5:$B$17&lt;&gt;$A$10)*Pesos_Indicadores!$G$5:$G$17*(1-A116)/(1-$B$10)),Normalizacao!$AK$5:$AK$17)/B116,""))</f>
        <v>0.854492211683713</v>
      </c>
      <c r="F116" s="17" t="str">
        <f aca="false">IF(C116="","",IF(INDEX(C116:E116,$B$5)&gt;=MAX(C116:E116),$B$4,INDEX(Pontuacao!$A$29:$A$31,MATCH(MAX(C116:E116),C116:E116,0))))</f>
        <v>Microsoft Azure</v>
      </c>
      <c r="G116" s="43" t="str">
        <f aca="false">IF(OR(F116="",F116=$B$4,ABS(A116-$B$10)&lt;0.000000001),"",ABS(A116-$B$10))</f>
        <v/>
      </c>
      <c r="I116" s="60" t="n">
        <f aca="false">(ROW()-17)*$B$6</f>
        <v>0.495</v>
      </c>
      <c r="J116" s="43" t="n">
        <f aca="false">IFERROR(SUMPRODUCT(Normalizacao!$AL$5:$AL$17,Pesos_Indicadores!$I$5:$I$17,((Pesos_Indicadores!$B$5:$B$17=$A$11)*I116+(Pesos_Indicadores!$B$5:$B$17&lt;&gt;$A$11)*Pesos_Indicadores!$G$5:$G$17*(1-I116)/(1-$B$11))),0)</f>
        <v>0.885769230769231</v>
      </c>
      <c r="K116" s="60" t="n">
        <f aca="false">IF(J116=0,"",IFERROR(SUMPRODUCT(Normalizacao!$AL$5:$AL$17,Pesos_Indicadores!$I$5:$I$17,((Pesos_Indicadores!$B$5:$B$17=$A$11)*I116+(Pesos_Indicadores!$B$5:$B$17&lt;&gt;$A$11)*Pesos_Indicadores!$G$5:$G$17*(1-I116)/(1-$B$11)),Normalizacao!$AI$5:$AI$17)/J116,""))</f>
        <v>0.786244070513935</v>
      </c>
      <c r="L116" s="60" t="n">
        <f aca="false">IF(J116=0,"",IFERROR(SUMPRODUCT(Normalizacao!$AL$5:$AL$17,Pesos_Indicadores!$I$5:$I$17,((Pesos_Indicadores!$B$5:$B$17=$A$11)*I116+(Pesos_Indicadores!$B$5:$B$17&lt;&gt;$A$11)*Pesos_Indicadores!$G$5:$G$17*(1-I116)/(1-$B$11)),Normalizacao!$AJ$5:$AJ$17)/J116,""))</f>
        <v>0.800860722781249</v>
      </c>
      <c r="M116" s="60" t="n">
        <f aca="false">IF(J116=0,"",IFERROR(SUMPRODUCT(Normalizacao!$AL$5:$AL$17,Pesos_Indicadores!$I$5:$I$17,((Pesos_Indicadores!$B$5:$B$17=$A$11)*I116+(Pesos_Indicadores!$B$5:$B$17&lt;&gt;$A$11)*Pesos_Indicadores!$G$5:$G$17*(1-I116)/(1-$B$11)),Normalizacao!$AK$5:$AK$17)/J116,""))</f>
        <v>0.833079507608816</v>
      </c>
      <c r="N116" s="17" t="str">
        <f aca="false">IF(K116="","",IF(INDEX(K116:M116,$B$5)&gt;=MAX(K116:M116),$B$4,INDEX(Pontuacao!$A$29:$A$31,MATCH(MAX(K116:M116),K116:M116,0))))</f>
        <v>Microsoft Azure</v>
      </c>
      <c r="O116" s="43" t="str">
        <f aca="false">IF(OR(N116="",N116=$B$4,ABS(I116-$B$11)&lt;0.000000001),"",ABS(I116-$B$11))</f>
        <v/>
      </c>
      <c r="Q116" s="60" t="n">
        <f aca="false">(ROW()-17)*$B$6</f>
        <v>0.495</v>
      </c>
      <c r="R116" s="43" t="n">
        <f aca="false">IFERROR(SUMPRODUCT(Normalizacao!$AL$5:$AL$17,Pesos_Indicadores!$I$5:$I$17,((Pesos_Indicadores!$B$5:$B$17=$A$12)*Q116+(Pesos_Indicadores!$B$5:$B$17&lt;&gt;$A$12)*Pesos_Indicadores!$G$5:$G$17*(1-Q116)/(1-$B$12))),0)</f>
        <v>0.941730769230769</v>
      </c>
      <c r="S116" s="60" t="n">
        <f aca="false">IF(R116=0,"",IFERROR(SUMPRODUCT(Normalizacao!$AL$5:$AL$17,Pesos_Indicadores!$I$5:$I$17,((Pesos_Indicadores!$B$5:$B$17=$A$12)*Q116+(Pesos_Indicadores!$B$5:$B$17&lt;&gt;$A$12)*Pesos_Indicadores!$G$5:$G$17*(1-Q116)/(1-$B$12)),Normalizacao!$AI$5:$AI$17)/R116,""))</f>
        <v>0.73891177127546</v>
      </c>
      <c r="T116" s="60" t="n">
        <f aca="false">IF(R116=0,"",IFERROR(SUMPRODUCT(Normalizacao!$AL$5:$AL$17,Pesos_Indicadores!$I$5:$I$17,((Pesos_Indicadores!$B$5:$B$17=$A$12)*Q116+(Pesos_Indicadores!$B$5:$B$17&lt;&gt;$A$12)*Pesos_Indicadores!$G$5:$G$17*(1-Q116)/(1-$B$12)),Normalizacao!$AJ$5:$AJ$17)/R116,""))</f>
        <v>0.807652122861379</v>
      </c>
      <c r="U116" s="60" t="n">
        <f aca="false">IF(R116=0,"",IFERROR(SUMPRODUCT(Normalizacao!$AL$5:$AL$17,Pesos_Indicadores!$I$5:$I$17,((Pesos_Indicadores!$B$5:$B$17=$A$12)*Q116+(Pesos_Indicadores!$B$5:$B$17&lt;&gt;$A$12)*Pesos_Indicadores!$G$5:$G$17*(1-Q116)/(1-$B$12)),Normalizacao!$AK$5:$AK$17)/R116,""))</f>
        <v>0.84185915464632</v>
      </c>
      <c r="V116" s="17" t="str">
        <f aca="false">IF(S116="","",IF(INDEX(S116:U116,$B$5)&gt;=MAX(S116:U116),$B$4,INDEX(Pontuacao!$A$29:$A$31,MATCH(MAX(S116:U116),S116:U116,0))))</f>
        <v>Microsoft Azure</v>
      </c>
      <c r="W116" s="43" t="str">
        <f aca="false">IF(OR(V116="",V116=$B$4,ABS(Q116-$B$12)&lt;0.000000001),"",ABS(Q116-$B$12))</f>
        <v/>
      </c>
    </row>
    <row r="117" customFormat="false" ht="15" hidden="false" customHeight="true" outlineLevel="0" collapsed="false">
      <c r="A117" s="60" t="n">
        <f aca="false">(ROW()-17)*$B$6</f>
        <v>0.5</v>
      </c>
      <c r="B117" s="43" t="n">
        <f aca="false">IFERROR(SUMPRODUCT(Normalizacao!$AL$5:$AL$17,Pesos_Indicadores!$I$5:$I$17,((Pesos_Indicadores!$B$5:$B$17=$A$10)*A117+(Pesos_Indicadores!$B$5:$B$17&lt;&gt;$A$10)*Pesos_Indicadores!$G$5:$G$17*(1-A117)/(1-$B$10))),0)</f>
        <v>0.988461538461539</v>
      </c>
      <c r="C117" s="60" t="n">
        <f aca="false">IF(B117=0,"",IFERROR(SUMPRODUCT(Normalizacao!$AL$5:$AL$17,Pesos_Indicadores!$I$5:$I$17,((Pesos_Indicadores!$B$5:$B$17=$A$10)*A117+(Pesos_Indicadores!$B$5:$B$17&lt;&gt;$A$10)*Pesos_Indicadores!$G$5:$G$17*(1-A117)/(1-$B$10)),Normalizacao!$AI$5:$AI$17)/B117,""))</f>
        <v>0.694061695856966</v>
      </c>
      <c r="D117" s="60" t="n">
        <f aca="false">IF(B117=0,"",IFERROR(SUMPRODUCT(Normalizacao!$AL$5:$AL$17,Pesos_Indicadores!$I$5:$I$17,((Pesos_Indicadores!$B$5:$B$17=$A$10)*A117+(Pesos_Indicadores!$B$5:$B$17&lt;&gt;$A$10)*Pesos_Indicadores!$G$5:$G$17*(1-A117)/(1-$B$10)),Normalizacao!$AJ$5:$AJ$17)/B117,""))</f>
        <v>0.823745982067332</v>
      </c>
      <c r="E117" s="60" t="n">
        <f aca="false">IF(B117=0,"",IFERROR(SUMPRODUCT(Normalizacao!$AL$5:$AL$17,Pesos_Indicadores!$I$5:$I$17,((Pesos_Indicadores!$B$5:$B$17=$A$10)*A117+(Pesos_Indicadores!$B$5:$B$17&lt;&gt;$A$10)*Pesos_Indicadores!$G$5:$G$17*(1-A117)/(1-$B$10)),Normalizacao!$AK$5:$AK$17)/B117,""))</f>
        <v>0.854882229468083</v>
      </c>
      <c r="F117" s="17" t="str">
        <f aca="false">IF(C117="","",IF(INDEX(C117:E117,$B$5)&gt;=MAX(C117:E117),$B$4,INDEX(Pontuacao!$A$29:$A$31,MATCH(MAX(C117:E117),C117:E117,0))))</f>
        <v>Microsoft Azure</v>
      </c>
      <c r="G117" s="43" t="str">
        <f aca="false">IF(OR(F117="",F117=$B$4,ABS(A117-$B$10)&lt;0.000000001),"",ABS(A117-$B$10))</f>
        <v/>
      </c>
      <c r="I117" s="60" t="n">
        <f aca="false">(ROW()-17)*$B$6</f>
        <v>0.5</v>
      </c>
      <c r="J117" s="43" t="n">
        <f aca="false">IFERROR(SUMPRODUCT(Normalizacao!$AL$5:$AL$17,Pesos_Indicadores!$I$5:$I$17,((Pesos_Indicadores!$B$5:$B$17=$A$11)*I117+(Pesos_Indicadores!$B$5:$B$17&lt;&gt;$A$11)*Pesos_Indicadores!$G$5:$G$17*(1-I117)/(1-$B$11))),0)</f>
        <v>0.884615384615385</v>
      </c>
      <c r="K117" s="60" t="n">
        <f aca="false">IF(J117=0,"",IFERROR(SUMPRODUCT(Normalizacao!$AL$5:$AL$17,Pesos_Indicadores!$I$5:$I$17,((Pesos_Indicadores!$B$5:$B$17=$A$11)*I117+(Pesos_Indicadores!$B$5:$B$17&lt;&gt;$A$11)*Pesos_Indicadores!$G$5:$G$17*(1-I117)/(1-$B$11)),Normalizacao!$AI$5:$AI$17)/J117,""))</f>
        <v>0.786792980797931</v>
      </c>
      <c r="L117" s="60" t="n">
        <f aca="false">IF(J117=0,"",IFERROR(SUMPRODUCT(Normalizacao!$AL$5:$AL$17,Pesos_Indicadores!$I$5:$I$17,((Pesos_Indicadores!$B$5:$B$17=$A$11)*I117+(Pesos_Indicadores!$B$5:$B$17&lt;&gt;$A$11)*Pesos_Indicadores!$G$5:$G$17*(1-I117)/(1-$B$11)),Normalizacao!$AJ$5:$AJ$17)/J117,""))</f>
        <v>0.801283790170132</v>
      </c>
      <c r="M117" s="60" t="n">
        <f aca="false">IF(J117=0,"",IFERROR(SUMPRODUCT(Normalizacao!$AL$5:$AL$17,Pesos_Indicadores!$I$5:$I$17,((Pesos_Indicadores!$B$5:$B$17=$A$11)*I117+(Pesos_Indicadores!$B$5:$B$17&lt;&gt;$A$11)*Pesos_Indicadores!$G$5:$G$17*(1-I117)/(1-$B$11)),Normalizacao!$AK$5:$AK$17)/J117,""))</f>
        <v>0.833222085795536</v>
      </c>
      <c r="N117" s="17" t="str">
        <f aca="false">IF(K117="","",IF(INDEX(K117:M117,$B$5)&gt;=MAX(K117:M117),$B$4,INDEX(Pontuacao!$A$29:$A$31,MATCH(MAX(K117:M117),K117:M117,0))))</f>
        <v>Microsoft Azure</v>
      </c>
      <c r="O117" s="43" t="str">
        <f aca="false">IF(OR(N117="",N117=$B$4,ABS(I117-$B$11)&lt;0.000000001),"",ABS(I117-$B$11))</f>
        <v/>
      </c>
      <c r="Q117" s="60" t="n">
        <f aca="false">(ROW()-17)*$B$6</f>
        <v>0.5</v>
      </c>
      <c r="R117" s="43" t="n">
        <f aca="false">IFERROR(SUMPRODUCT(Normalizacao!$AL$5:$AL$17,Pesos_Indicadores!$I$5:$I$17,((Pesos_Indicadores!$B$5:$B$17=$A$12)*Q117+(Pesos_Indicadores!$B$5:$B$17&lt;&gt;$A$12)*Pesos_Indicadores!$G$5:$G$17*(1-Q117)/(1-$B$12))),0)</f>
        <v>0.942307692307692</v>
      </c>
      <c r="S117" s="60" t="n">
        <f aca="false">IF(R117=0,"",IFERROR(SUMPRODUCT(Normalizacao!$AL$5:$AL$17,Pesos_Indicadores!$I$5:$I$17,((Pesos_Indicadores!$B$5:$B$17=$A$12)*Q117+(Pesos_Indicadores!$B$5:$B$17&lt;&gt;$A$12)*Pesos_Indicadores!$G$5:$G$17*(1-Q117)/(1-$B$12)),Normalizacao!$AI$5:$AI$17)/R117,""))</f>
        <v>0.739028277214776</v>
      </c>
      <c r="T117" s="60" t="n">
        <f aca="false">IF(R117=0,"",IFERROR(SUMPRODUCT(Normalizacao!$AL$5:$AL$17,Pesos_Indicadores!$I$5:$I$17,((Pesos_Indicadores!$B$5:$B$17=$A$12)*Q117+(Pesos_Indicadores!$B$5:$B$17&lt;&gt;$A$12)*Pesos_Indicadores!$G$5:$G$17*(1-Q117)/(1-$B$12)),Normalizacao!$AJ$5:$AJ$17)/R117,""))</f>
        <v>0.80704636202307</v>
      </c>
      <c r="U117" s="60" t="n">
        <f aca="false">IF(R117=0,"",IFERROR(SUMPRODUCT(Normalizacao!$AL$5:$AL$17,Pesos_Indicadores!$I$5:$I$17,((Pesos_Indicadores!$B$5:$B$17=$A$12)*Q117+(Pesos_Indicadores!$B$5:$B$17&lt;&gt;$A$12)*Pesos_Indicadores!$G$5:$G$17*(1-Q117)/(1-$B$12)),Normalizacao!$AK$5:$AK$17)/R117,""))</f>
        <v>0.841550672924435</v>
      </c>
      <c r="V117" s="17" t="str">
        <f aca="false">IF(S117="","",IF(INDEX(S117:U117,$B$5)&gt;=MAX(S117:U117),$B$4,INDEX(Pontuacao!$A$29:$A$31,MATCH(MAX(S117:U117),S117:U117,0))))</f>
        <v>Microsoft Azure</v>
      </c>
      <c r="W117" s="43" t="str">
        <f aca="false">IF(OR(V117="",V117=$B$4,ABS(Q117-$B$12)&lt;0.000000001),"",ABS(Q117-$B$12))</f>
        <v/>
      </c>
    </row>
    <row r="118" customFormat="false" ht="15" hidden="false" customHeight="true" outlineLevel="0" collapsed="false">
      <c r="A118" s="60" t="n">
        <f aca="false">(ROW()-17)*$B$6</f>
        <v>0.505</v>
      </c>
      <c r="B118" s="43" t="n">
        <f aca="false">IFERROR(SUMPRODUCT(Normalizacao!$AL$5:$AL$17,Pesos_Indicadores!$I$5:$I$17,((Pesos_Indicadores!$B$5:$B$17=$A$10)*A118+(Pesos_Indicadores!$B$5:$B$17&lt;&gt;$A$10)*Pesos_Indicadores!$G$5:$G$17*(1-A118)/(1-$B$10))),0)</f>
        <v>0.988576923076923</v>
      </c>
      <c r="C118" s="60" t="n">
        <f aca="false">IF(B118=0,"",IFERROR(SUMPRODUCT(Normalizacao!$AL$5:$AL$17,Pesos_Indicadores!$I$5:$I$17,((Pesos_Indicadores!$B$5:$B$17=$A$10)*A118+(Pesos_Indicadores!$B$5:$B$17&lt;&gt;$A$10)*Pesos_Indicadores!$G$5:$G$17*(1-A118)/(1-$B$10)),Normalizacao!$AI$5:$AI$17)/B118,""))</f>
        <v>0.693431095177966</v>
      </c>
      <c r="D118" s="60" t="n">
        <f aca="false">IF(B118=0,"",IFERROR(SUMPRODUCT(Normalizacao!$AL$5:$AL$17,Pesos_Indicadores!$I$5:$I$17,((Pesos_Indicadores!$B$5:$B$17=$A$10)*A118+(Pesos_Indicadores!$B$5:$B$17&lt;&gt;$A$10)*Pesos_Indicadores!$G$5:$G$17*(1-A118)/(1-$B$10)),Normalizacao!$AJ$5:$AJ$17)/B118,""))</f>
        <v>0.824396936409047</v>
      </c>
      <c r="E118" s="60" t="n">
        <f aca="false">IF(B118=0,"",IFERROR(SUMPRODUCT(Normalizacao!$AL$5:$AL$17,Pesos_Indicadores!$I$5:$I$17,((Pesos_Indicadores!$B$5:$B$17=$A$10)*A118+(Pesos_Indicadores!$B$5:$B$17&lt;&gt;$A$10)*Pesos_Indicadores!$G$5:$G$17*(1-A118)/(1-$B$10)),Normalizacao!$AK$5:$AK$17)/B118,""))</f>
        <v>0.855272156208346</v>
      </c>
      <c r="F118" s="17" t="str">
        <f aca="false">IF(C118="","",IF(INDEX(C118:E118,$B$5)&gt;=MAX(C118:E118),$B$4,INDEX(Pontuacao!$A$29:$A$31,MATCH(MAX(C118:E118),C118:E118,0))))</f>
        <v>Microsoft Azure</v>
      </c>
      <c r="G118" s="43" t="str">
        <f aca="false">IF(OR(F118="",F118=$B$4,ABS(A118-$B$10)&lt;0.000000001),"",ABS(A118-$B$10))</f>
        <v/>
      </c>
      <c r="I118" s="60" t="n">
        <f aca="false">(ROW()-17)*$B$6</f>
        <v>0.505</v>
      </c>
      <c r="J118" s="43" t="n">
        <f aca="false">IFERROR(SUMPRODUCT(Normalizacao!$AL$5:$AL$17,Pesos_Indicadores!$I$5:$I$17,((Pesos_Indicadores!$B$5:$B$17=$A$11)*I118+(Pesos_Indicadores!$B$5:$B$17&lt;&gt;$A$11)*Pesos_Indicadores!$G$5:$G$17*(1-I118)/(1-$B$11))),0)</f>
        <v>0.883461538461539</v>
      </c>
      <c r="K118" s="60" t="n">
        <f aca="false">IF(J118=0,"",IFERROR(SUMPRODUCT(Normalizacao!$AL$5:$AL$17,Pesos_Indicadores!$I$5:$I$17,((Pesos_Indicadores!$B$5:$B$17=$A$11)*I118+(Pesos_Indicadores!$B$5:$B$17&lt;&gt;$A$11)*Pesos_Indicadores!$G$5:$G$17*(1-I118)/(1-$B$11)),Normalizacao!$AI$5:$AI$17)/J118,""))</f>
        <v>0.787343324891984</v>
      </c>
      <c r="L118" s="60" t="n">
        <f aca="false">IF(J118=0,"",IFERROR(SUMPRODUCT(Normalizacao!$AL$5:$AL$17,Pesos_Indicadores!$I$5:$I$17,((Pesos_Indicadores!$B$5:$B$17=$A$11)*I118+(Pesos_Indicadores!$B$5:$B$17&lt;&gt;$A$11)*Pesos_Indicadores!$G$5:$G$17*(1-I118)/(1-$B$11)),Normalizacao!$AJ$5:$AJ$17)/J118,""))</f>
        <v>0.801707962654502</v>
      </c>
      <c r="M118" s="60" t="n">
        <f aca="false">IF(J118=0,"",IFERROR(SUMPRODUCT(Normalizacao!$AL$5:$AL$17,Pesos_Indicadores!$I$5:$I$17,((Pesos_Indicadores!$B$5:$B$17=$A$11)*I118+(Pesos_Indicadores!$B$5:$B$17&lt;&gt;$A$11)*Pesos_Indicadores!$G$5:$G$17*(1-I118)/(1-$B$11)),Normalizacao!$AK$5:$AK$17)/J118,""))</f>
        <v>0.833365036411129</v>
      </c>
      <c r="N118" s="17" t="str">
        <f aca="false">IF(K118="","",IF(INDEX(K118:M118,$B$5)&gt;=MAX(K118:M118),$B$4,INDEX(Pontuacao!$A$29:$A$31,MATCH(MAX(K118:M118),K118:M118,0))))</f>
        <v>Microsoft Azure</v>
      </c>
      <c r="O118" s="43" t="str">
        <f aca="false">IF(OR(N118="",N118=$B$4,ABS(I118-$B$11)&lt;0.000000001),"",ABS(I118-$B$11))</f>
        <v/>
      </c>
      <c r="Q118" s="60" t="n">
        <f aca="false">(ROW()-17)*$B$6</f>
        <v>0.505</v>
      </c>
      <c r="R118" s="43" t="n">
        <f aca="false">IFERROR(SUMPRODUCT(Normalizacao!$AL$5:$AL$17,Pesos_Indicadores!$I$5:$I$17,((Pesos_Indicadores!$B$5:$B$17=$A$12)*Q118+(Pesos_Indicadores!$B$5:$B$17&lt;&gt;$A$12)*Pesos_Indicadores!$G$5:$G$17*(1-Q118)/(1-$B$12))),0)</f>
        <v>0.942884615384615</v>
      </c>
      <c r="S118" s="60" t="n">
        <f aca="false">IF(R118=0,"",IFERROR(SUMPRODUCT(Normalizacao!$AL$5:$AL$17,Pesos_Indicadores!$I$5:$I$17,((Pesos_Indicadores!$B$5:$B$17=$A$12)*Q118+(Pesos_Indicadores!$B$5:$B$17&lt;&gt;$A$12)*Pesos_Indicadores!$G$5:$G$17*(1-Q118)/(1-$B$12)),Normalizacao!$AI$5:$AI$17)/R118,""))</f>
        <v>0.739144640581048</v>
      </c>
      <c r="T118" s="60" t="n">
        <f aca="false">IF(R118=0,"",IFERROR(SUMPRODUCT(Normalizacao!$AL$5:$AL$17,Pesos_Indicadores!$I$5:$I$17,((Pesos_Indicadores!$B$5:$B$17=$A$12)*Q118+(Pesos_Indicadores!$B$5:$B$17&lt;&gt;$A$12)*Pesos_Indicadores!$G$5:$G$17*(1-Q118)/(1-$B$12)),Normalizacao!$AJ$5:$AJ$17)/R118,""))</f>
        <v>0.806441342478873</v>
      </c>
      <c r="U118" s="60" t="n">
        <f aca="false">IF(R118=0,"",IFERROR(SUMPRODUCT(Normalizacao!$AL$5:$AL$17,Pesos_Indicadores!$I$5:$I$17,((Pesos_Indicadores!$B$5:$B$17=$A$12)*Q118+(Pesos_Indicadores!$B$5:$B$17&lt;&gt;$A$12)*Pesos_Indicadores!$G$5:$G$17*(1-Q118)/(1-$B$12)),Normalizacao!$AK$5:$AK$17)/R118,""))</f>
        <v>0.841242568704148</v>
      </c>
      <c r="V118" s="17" t="str">
        <f aca="false">IF(S118="","",IF(INDEX(S118:U118,$B$5)&gt;=MAX(S118:U118),$B$4,INDEX(Pontuacao!$A$29:$A$31,MATCH(MAX(S118:U118),S118:U118,0))))</f>
        <v>Microsoft Azure</v>
      </c>
      <c r="W118" s="43" t="str">
        <f aca="false">IF(OR(V118="",V118=$B$4,ABS(Q118-$B$12)&lt;0.000000001),"",ABS(Q118-$B$12))</f>
        <v/>
      </c>
    </row>
    <row r="119" customFormat="false" ht="15" hidden="false" customHeight="true" outlineLevel="0" collapsed="false">
      <c r="A119" s="60" t="n">
        <f aca="false">(ROW()-17)*$B$6</f>
        <v>0.51</v>
      </c>
      <c r="B119" s="43" t="n">
        <f aca="false">IFERROR(SUMPRODUCT(Normalizacao!$AL$5:$AL$17,Pesos_Indicadores!$I$5:$I$17,((Pesos_Indicadores!$B$5:$B$17=$A$10)*A119+(Pesos_Indicadores!$B$5:$B$17&lt;&gt;$A$10)*Pesos_Indicadores!$G$5:$G$17*(1-A119)/(1-$B$10))),0)</f>
        <v>0.988692307692308</v>
      </c>
      <c r="C119" s="60" t="n">
        <f aca="false">IF(B119=0,"",IFERROR(SUMPRODUCT(Normalizacao!$AL$5:$AL$17,Pesos_Indicadores!$I$5:$I$17,((Pesos_Indicadores!$B$5:$B$17=$A$10)*A119+(Pesos_Indicadores!$B$5:$B$17&lt;&gt;$A$10)*Pesos_Indicadores!$G$5:$G$17*(1-A119)/(1-$B$10)),Normalizacao!$AI$5:$AI$17)/B119,""))</f>
        <v>0.692800641686552</v>
      </c>
      <c r="D119" s="60" t="n">
        <f aca="false">IF(B119=0,"",IFERROR(SUMPRODUCT(Normalizacao!$AL$5:$AL$17,Pesos_Indicadores!$I$5:$I$17,((Pesos_Indicadores!$B$5:$B$17=$A$10)*A119+(Pesos_Indicadores!$B$5:$B$17&lt;&gt;$A$10)*Pesos_Indicadores!$G$5:$G$17*(1-A119)/(1-$B$10)),Normalizacao!$AJ$5:$AJ$17)/B119,""))</f>
        <v>0.825047738812458</v>
      </c>
      <c r="E119" s="60" t="n">
        <f aca="false">IF(B119=0,"",IFERROR(SUMPRODUCT(Normalizacao!$AL$5:$AL$17,Pesos_Indicadores!$I$5:$I$17,((Pesos_Indicadores!$B$5:$B$17=$A$10)*A119+(Pesos_Indicadores!$B$5:$B$17&lt;&gt;$A$10)*Pesos_Indicadores!$G$5:$G$17*(1-A119)/(1-$B$10)),Normalizacao!$AK$5:$AK$17)/B119,""))</f>
        <v>0.855661991936376</v>
      </c>
      <c r="F119" s="17" t="str">
        <f aca="false">IF(C119="","",IF(INDEX(C119:E119,$B$5)&gt;=MAX(C119:E119),$B$4,INDEX(Pontuacao!$A$29:$A$31,MATCH(MAX(C119:E119),C119:E119,0))))</f>
        <v>Microsoft Azure</v>
      </c>
      <c r="G119" s="43" t="str">
        <f aca="false">IF(OR(F119="",F119=$B$4,ABS(A119-$B$10)&lt;0.000000001),"",ABS(A119-$B$10))</f>
        <v/>
      </c>
      <c r="I119" s="60" t="n">
        <f aca="false">(ROW()-17)*$B$6</f>
        <v>0.51</v>
      </c>
      <c r="J119" s="43" t="n">
        <f aca="false">IFERROR(SUMPRODUCT(Normalizacao!$AL$5:$AL$17,Pesos_Indicadores!$I$5:$I$17,((Pesos_Indicadores!$B$5:$B$17=$A$11)*I119+(Pesos_Indicadores!$B$5:$B$17&lt;&gt;$A$11)*Pesos_Indicadores!$G$5:$G$17*(1-I119)/(1-$B$11))),0)</f>
        <v>0.882307692307693</v>
      </c>
      <c r="K119" s="60" t="n">
        <f aca="false">IF(J119=0,"",IFERROR(SUMPRODUCT(Normalizacao!$AL$5:$AL$17,Pesos_Indicadores!$I$5:$I$17,((Pesos_Indicadores!$B$5:$B$17=$A$11)*I119+(Pesos_Indicadores!$B$5:$B$17&lt;&gt;$A$11)*Pesos_Indicadores!$G$5:$G$17*(1-I119)/(1-$B$11)),Normalizacao!$AI$5:$AI$17)/J119,""))</f>
        <v>0.787895108421332</v>
      </c>
      <c r="L119" s="60" t="n">
        <f aca="false">IF(J119=0,"",IFERROR(SUMPRODUCT(Normalizacao!$AL$5:$AL$17,Pesos_Indicadores!$I$5:$I$17,((Pesos_Indicadores!$B$5:$B$17=$A$11)*I119+(Pesos_Indicadores!$B$5:$B$17&lt;&gt;$A$11)*Pesos_Indicadores!$G$5:$G$17*(1-I119)/(1-$B$11)),Normalizacao!$AJ$5:$AJ$17)/J119,""))</f>
        <v>0.802133244569956</v>
      </c>
      <c r="M119" s="60" t="n">
        <f aca="false">IF(J119=0,"",IFERROR(SUMPRODUCT(Normalizacao!$AL$5:$AL$17,Pesos_Indicadores!$I$5:$I$17,((Pesos_Indicadores!$B$5:$B$17=$A$11)*I119+(Pesos_Indicadores!$B$5:$B$17&lt;&gt;$A$11)*Pesos_Indicadores!$G$5:$G$17*(1-I119)/(1-$B$11)),Normalizacao!$AK$5:$AK$17)/J119,""))</f>
        <v>0.833508360916737</v>
      </c>
      <c r="N119" s="17" t="str">
        <f aca="false">IF(K119="","",IF(INDEX(K119:M119,$B$5)&gt;=MAX(K119:M119),$B$4,INDEX(Pontuacao!$A$29:$A$31,MATCH(MAX(K119:M119),K119:M119,0))))</f>
        <v>Microsoft Azure</v>
      </c>
      <c r="O119" s="43" t="str">
        <f aca="false">IF(OR(N119="",N119=$B$4,ABS(I119-$B$11)&lt;0.000000001),"",ABS(I119-$B$11))</f>
        <v/>
      </c>
      <c r="Q119" s="60" t="n">
        <f aca="false">(ROW()-17)*$B$6</f>
        <v>0.51</v>
      </c>
      <c r="R119" s="43" t="n">
        <f aca="false">IFERROR(SUMPRODUCT(Normalizacao!$AL$5:$AL$17,Pesos_Indicadores!$I$5:$I$17,((Pesos_Indicadores!$B$5:$B$17=$A$12)*Q119+(Pesos_Indicadores!$B$5:$B$17&lt;&gt;$A$12)*Pesos_Indicadores!$G$5:$G$17*(1-Q119)/(1-$B$12))),0)</f>
        <v>0.943461538461539</v>
      </c>
      <c r="S119" s="60" t="n">
        <f aca="false">IF(R119=0,"",IFERROR(SUMPRODUCT(Normalizacao!$AL$5:$AL$17,Pesos_Indicadores!$I$5:$I$17,((Pesos_Indicadores!$B$5:$B$17=$A$12)*Q119+(Pesos_Indicadores!$B$5:$B$17&lt;&gt;$A$12)*Pesos_Indicadores!$G$5:$G$17*(1-Q119)/(1-$B$12)),Normalizacao!$AI$5:$AI$17)/R119,""))</f>
        <v>0.739260861635824</v>
      </c>
      <c r="T119" s="60" t="n">
        <f aca="false">IF(R119=0,"",IFERROR(SUMPRODUCT(Normalizacao!$AL$5:$AL$17,Pesos_Indicadores!$I$5:$I$17,((Pesos_Indicadores!$B$5:$B$17=$A$12)*Q119+(Pesos_Indicadores!$B$5:$B$17&lt;&gt;$A$12)*Pesos_Indicadores!$G$5:$G$17*(1-Q119)/(1-$B$12)),Normalizacao!$AJ$5:$AJ$17)/R119,""))</f>
        <v>0.805837062868892</v>
      </c>
      <c r="U119" s="60" t="n">
        <f aca="false">IF(R119=0,"",IFERROR(SUMPRODUCT(Normalizacao!$AL$5:$AL$17,Pesos_Indicadores!$I$5:$I$17,((Pesos_Indicadores!$B$5:$B$17=$A$12)*Q119+(Pesos_Indicadores!$B$5:$B$17&lt;&gt;$A$12)*Pesos_Indicadores!$G$5:$G$17*(1-Q119)/(1-$B$12)),Normalizacao!$AK$5:$AK$17)/R119,""))</f>
        <v>0.840934841292935</v>
      </c>
      <c r="V119" s="17" t="str">
        <f aca="false">IF(S119="","",IF(INDEX(S119:U119,$B$5)&gt;=MAX(S119:U119),$B$4,INDEX(Pontuacao!$A$29:$A$31,MATCH(MAX(S119:U119),S119:U119,0))))</f>
        <v>Microsoft Azure</v>
      </c>
      <c r="W119" s="43" t="str">
        <f aca="false">IF(OR(V119="",V119=$B$4,ABS(Q119-$B$12)&lt;0.000000001),"",ABS(Q119-$B$12))</f>
        <v/>
      </c>
    </row>
    <row r="120" customFormat="false" ht="15" hidden="false" customHeight="true" outlineLevel="0" collapsed="false">
      <c r="A120" s="60" t="n">
        <f aca="false">(ROW()-17)*$B$6</f>
        <v>0.515</v>
      </c>
      <c r="B120" s="43" t="n">
        <f aca="false">IFERROR(SUMPRODUCT(Normalizacao!$AL$5:$AL$17,Pesos_Indicadores!$I$5:$I$17,((Pesos_Indicadores!$B$5:$B$17=$A$10)*A120+(Pesos_Indicadores!$B$5:$B$17&lt;&gt;$A$10)*Pesos_Indicadores!$G$5:$G$17*(1-A120)/(1-$B$10))),0)</f>
        <v>0.988807692307692</v>
      </c>
      <c r="C120" s="60" t="n">
        <f aca="false">IF(B120=0,"",IFERROR(SUMPRODUCT(Normalizacao!$AL$5:$AL$17,Pesos_Indicadores!$I$5:$I$17,((Pesos_Indicadores!$B$5:$B$17=$A$10)*A120+(Pesos_Indicadores!$B$5:$B$17&lt;&gt;$A$10)*Pesos_Indicadores!$G$5:$G$17*(1-A120)/(1-$B$10)),Normalizacao!$AI$5:$AI$17)/B120,""))</f>
        <v>0.692170335331197</v>
      </c>
      <c r="D120" s="60" t="n">
        <f aca="false">IF(B120=0,"",IFERROR(SUMPRODUCT(Normalizacao!$AL$5:$AL$17,Pesos_Indicadores!$I$5:$I$17,((Pesos_Indicadores!$B$5:$B$17=$A$10)*A120+(Pesos_Indicadores!$B$5:$B$17&lt;&gt;$A$10)*Pesos_Indicadores!$G$5:$G$17*(1-A120)/(1-$B$10)),Normalizacao!$AJ$5:$AJ$17)/B120,""))</f>
        <v>0.825698389330754</v>
      </c>
      <c r="E120" s="60" t="n">
        <f aca="false">IF(B120=0,"",IFERROR(SUMPRODUCT(Normalizacao!$AL$5:$AL$17,Pesos_Indicadores!$I$5:$I$17,((Pesos_Indicadores!$B$5:$B$17=$A$10)*A120+(Pesos_Indicadores!$B$5:$B$17&lt;&gt;$A$10)*Pesos_Indicadores!$G$5:$G$17*(1-A120)/(1-$B$10)),Normalizacao!$AK$5:$AK$17)/B120,""))</f>
        <v>0.856051736684034</v>
      </c>
      <c r="F120" s="17" t="str">
        <f aca="false">IF(C120="","",IF(INDEX(C120:E120,$B$5)&gt;=MAX(C120:E120),$B$4,INDEX(Pontuacao!$A$29:$A$31,MATCH(MAX(C120:E120),C120:E120,0))))</f>
        <v>Microsoft Azure</v>
      </c>
      <c r="G120" s="43" t="str">
        <f aca="false">IF(OR(F120="",F120=$B$4,ABS(A120-$B$10)&lt;0.000000001),"",ABS(A120-$B$10))</f>
        <v/>
      </c>
      <c r="I120" s="60" t="n">
        <f aca="false">(ROW()-17)*$B$6</f>
        <v>0.515</v>
      </c>
      <c r="J120" s="43" t="n">
        <f aca="false">IFERROR(SUMPRODUCT(Normalizacao!$AL$5:$AL$17,Pesos_Indicadores!$I$5:$I$17,((Pesos_Indicadores!$B$5:$B$17=$A$11)*I120+(Pesos_Indicadores!$B$5:$B$17&lt;&gt;$A$11)*Pesos_Indicadores!$G$5:$G$17*(1-I120)/(1-$B$11))),0)</f>
        <v>0.881153846153846</v>
      </c>
      <c r="K120" s="60" t="n">
        <f aca="false">IF(J120=0,"",IFERROR(SUMPRODUCT(Normalizacao!$AL$5:$AL$17,Pesos_Indicadores!$I$5:$I$17,((Pesos_Indicadores!$B$5:$B$17=$A$11)*I120+(Pesos_Indicadores!$B$5:$B$17&lt;&gt;$A$11)*Pesos_Indicadores!$G$5:$G$17*(1-I120)/(1-$B$11)),Normalizacao!$AI$5:$AI$17)/J120,""))</f>
        <v>0.788448337040674</v>
      </c>
      <c r="L120" s="60" t="n">
        <f aca="false">IF(J120=0,"",IFERROR(SUMPRODUCT(Normalizacao!$AL$5:$AL$17,Pesos_Indicadores!$I$5:$I$17,((Pesos_Indicadores!$B$5:$B$17=$A$11)*I120+(Pesos_Indicadores!$B$5:$B$17&lt;&gt;$A$11)*Pesos_Indicadores!$G$5:$G$17*(1-I120)/(1-$B$11)),Normalizacao!$AJ$5:$AJ$17)/J120,""))</f>
        <v>0.802559640274799</v>
      </c>
      <c r="M120" s="60" t="n">
        <f aca="false">IF(J120=0,"",IFERROR(SUMPRODUCT(Normalizacao!$AL$5:$AL$17,Pesos_Indicadores!$I$5:$I$17,((Pesos_Indicadores!$B$5:$B$17=$A$11)*I120+(Pesos_Indicadores!$B$5:$B$17&lt;&gt;$A$11)*Pesos_Indicadores!$G$5:$G$17*(1-I120)/(1-$B$11)),Normalizacao!$AK$5:$AK$17)/J120,""))</f>
        <v>0.833652060781154</v>
      </c>
      <c r="N120" s="17" t="str">
        <f aca="false">IF(K120="","",IF(INDEX(K120:M120,$B$5)&gt;=MAX(K120:M120),$B$4,INDEX(Pontuacao!$A$29:$A$31,MATCH(MAX(K120:M120),K120:M120,0))))</f>
        <v>Microsoft Azure</v>
      </c>
      <c r="O120" s="43" t="str">
        <f aca="false">IF(OR(N120="",N120=$B$4,ABS(I120-$B$11)&lt;0.000000001),"",ABS(I120-$B$11))</f>
        <v/>
      </c>
      <c r="Q120" s="60" t="n">
        <f aca="false">(ROW()-17)*$B$6</f>
        <v>0.515</v>
      </c>
      <c r="R120" s="43" t="n">
        <f aca="false">IFERROR(SUMPRODUCT(Normalizacao!$AL$5:$AL$17,Pesos_Indicadores!$I$5:$I$17,((Pesos_Indicadores!$B$5:$B$17=$A$12)*Q120+(Pesos_Indicadores!$B$5:$B$17&lt;&gt;$A$12)*Pesos_Indicadores!$G$5:$G$17*(1-Q120)/(1-$B$12))),0)</f>
        <v>0.944038461538462</v>
      </c>
      <c r="S120" s="60" t="n">
        <f aca="false">IF(R120=0,"",IFERROR(SUMPRODUCT(Normalizacao!$AL$5:$AL$17,Pesos_Indicadores!$I$5:$I$17,((Pesos_Indicadores!$B$5:$B$17=$A$12)*Q120+(Pesos_Indicadores!$B$5:$B$17&lt;&gt;$A$12)*Pesos_Indicadores!$G$5:$G$17*(1-Q120)/(1-$B$12)),Normalizacao!$AI$5:$AI$17)/R120,""))</f>
        <v>0.739376940640015</v>
      </c>
      <c r="T120" s="60" t="n">
        <f aca="false">IF(R120=0,"",IFERROR(SUMPRODUCT(Normalizacao!$AL$5:$AL$17,Pesos_Indicadores!$I$5:$I$17,((Pesos_Indicadores!$B$5:$B$17=$A$12)*Q120+(Pesos_Indicadores!$B$5:$B$17&lt;&gt;$A$12)*Pesos_Indicadores!$G$5:$G$17*(1-Q120)/(1-$B$12)),Normalizacao!$AJ$5:$AJ$17)/R120,""))</f>
        <v>0.805233521836556</v>
      </c>
      <c r="U120" s="60" t="n">
        <f aca="false">IF(R120=0,"",IFERROR(SUMPRODUCT(Normalizacao!$AL$5:$AL$17,Pesos_Indicadores!$I$5:$I$17,((Pesos_Indicadores!$B$5:$B$17=$A$12)*Q120+(Pesos_Indicadores!$B$5:$B$17&lt;&gt;$A$12)*Pesos_Indicadores!$G$5:$G$17*(1-Q120)/(1-$B$12)),Normalizacao!$AK$5:$AK$17)/R120,""))</f>
        <v>0.840627489999968</v>
      </c>
      <c r="V120" s="17" t="str">
        <f aca="false">IF(S120="","",IF(INDEX(S120:U120,$B$5)&gt;=MAX(S120:U120),$B$4,INDEX(Pontuacao!$A$29:$A$31,MATCH(MAX(S120:U120),S120:U120,0))))</f>
        <v>Microsoft Azure</v>
      </c>
      <c r="W120" s="43" t="str">
        <f aca="false">IF(OR(V120="",V120=$B$4,ABS(Q120-$B$12)&lt;0.000000001),"",ABS(Q120-$B$12))</f>
        <v/>
      </c>
    </row>
    <row r="121" customFormat="false" ht="15" hidden="false" customHeight="true" outlineLevel="0" collapsed="false">
      <c r="A121" s="60" t="n">
        <f aca="false">(ROW()-17)*$B$6</f>
        <v>0.52</v>
      </c>
      <c r="B121" s="43" t="n">
        <f aca="false">IFERROR(SUMPRODUCT(Normalizacao!$AL$5:$AL$17,Pesos_Indicadores!$I$5:$I$17,((Pesos_Indicadores!$B$5:$B$17=$A$10)*A121+(Pesos_Indicadores!$B$5:$B$17&lt;&gt;$A$10)*Pesos_Indicadores!$G$5:$G$17*(1-A121)/(1-$B$10))),0)</f>
        <v>0.988923076923077</v>
      </c>
      <c r="C121" s="60" t="n">
        <f aca="false">IF(B121=0,"",IFERROR(SUMPRODUCT(Normalizacao!$AL$5:$AL$17,Pesos_Indicadores!$I$5:$I$17,((Pesos_Indicadores!$B$5:$B$17=$A$10)*A121+(Pesos_Indicadores!$B$5:$B$17&lt;&gt;$A$10)*Pesos_Indicadores!$G$5:$G$17*(1-A121)/(1-$B$10)),Normalizacao!$AI$5:$AI$17)/B121,""))</f>
        <v>0.691540176060399</v>
      </c>
      <c r="D121" s="60" t="n">
        <f aca="false">IF(B121=0,"",IFERROR(SUMPRODUCT(Normalizacao!$AL$5:$AL$17,Pesos_Indicadores!$I$5:$I$17,((Pesos_Indicadores!$B$5:$B$17=$A$10)*A121+(Pesos_Indicadores!$B$5:$B$17&lt;&gt;$A$10)*Pesos_Indicadores!$G$5:$G$17*(1-A121)/(1-$B$10)),Normalizacao!$AJ$5:$AJ$17)/B121,""))</f>
        <v>0.826348888017099</v>
      </c>
      <c r="E121" s="60" t="n">
        <f aca="false">IF(B121=0,"",IFERROR(SUMPRODUCT(Normalizacao!$AL$5:$AL$17,Pesos_Indicadores!$I$5:$I$17,((Pesos_Indicadores!$B$5:$B$17=$A$10)*A121+(Pesos_Indicadores!$B$5:$B$17&lt;&gt;$A$10)*Pesos_Indicadores!$G$5:$G$17*(1-A121)/(1-$B$10)),Normalizacao!$AK$5:$AK$17)/B121,""))</f>
        <v>0.856441390483168</v>
      </c>
      <c r="F121" s="17" t="str">
        <f aca="false">IF(C121="","",IF(INDEX(C121:E121,$B$5)&gt;=MAX(C121:E121),$B$4,INDEX(Pontuacao!$A$29:$A$31,MATCH(MAX(C121:E121),C121:E121,0))))</f>
        <v>Microsoft Azure</v>
      </c>
      <c r="G121" s="43" t="str">
        <f aca="false">IF(OR(F121="",F121=$B$4,ABS(A121-$B$10)&lt;0.000000001),"",ABS(A121-$B$10))</f>
        <v/>
      </c>
      <c r="I121" s="60" t="n">
        <f aca="false">(ROW()-17)*$B$6</f>
        <v>0.52</v>
      </c>
      <c r="J121" s="43" t="n">
        <f aca="false">IFERROR(SUMPRODUCT(Normalizacao!$AL$5:$AL$17,Pesos_Indicadores!$I$5:$I$17,((Pesos_Indicadores!$B$5:$B$17=$A$11)*I121+(Pesos_Indicadores!$B$5:$B$17&lt;&gt;$A$11)*Pesos_Indicadores!$G$5:$G$17*(1-I121)/(1-$B$11))),0)</f>
        <v>0.88</v>
      </c>
      <c r="K121" s="60" t="n">
        <f aca="false">IF(J121=0,"",IFERROR(SUMPRODUCT(Normalizacao!$AL$5:$AL$17,Pesos_Indicadores!$I$5:$I$17,((Pesos_Indicadores!$B$5:$B$17=$A$11)*I121+(Pesos_Indicadores!$B$5:$B$17&lt;&gt;$A$11)*Pesos_Indicadores!$G$5:$G$17*(1-I121)/(1-$B$11)),Normalizacao!$AI$5:$AI$17)/J121,""))</f>
        <v>0.789003016434367</v>
      </c>
      <c r="L121" s="60" t="n">
        <f aca="false">IF(J121=0,"",IFERROR(SUMPRODUCT(Normalizacao!$AL$5:$AL$17,Pesos_Indicadores!$I$5:$I$17,((Pesos_Indicadores!$B$5:$B$17=$A$11)*I121+(Pesos_Indicadores!$B$5:$B$17&lt;&gt;$A$11)*Pesos_Indicadores!$G$5:$G$17*(1-I121)/(1-$B$11)),Normalizacao!$AJ$5:$AJ$17)/J121,""))</f>
        <v>0.802987154150198</v>
      </c>
      <c r="M121" s="60" t="n">
        <f aca="false">IF(J121=0,"",IFERROR(SUMPRODUCT(Normalizacao!$AL$5:$AL$17,Pesos_Indicadores!$I$5:$I$17,((Pesos_Indicadores!$B$5:$B$17=$A$11)*I121+(Pesos_Indicadores!$B$5:$B$17&lt;&gt;$A$11)*Pesos_Indicadores!$G$5:$G$17*(1-I121)/(1-$B$11)),Normalizacao!$AK$5:$AK$17)/J121,""))</f>
        <v>0.833796137480881</v>
      </c>
      <c r="N121" s="17" t="str">
        <f aca="false">IF(K121="","",IF(INDEX(K121:M121,$B$5)&gt;=MAX(K121:M121),$B$4,INDEX(Pontuacao!$A$29:$A$31,MATCH(MAX(K121:M121),K121:M121,0))))</f>
        <v>Microsoft Azure</v>
      </c>
      <c r="O121" s="43" t="str">
        <f aca="false">IF(OR(N121="",N121=$B$4,ABS(I121-$B$11)&lt;0.000000001),"",ABS(I121-$B$11))</f>
        <v/>
      </c>
      <c r="Q121" s="60" t="n">
        <f aca="false">(ROW()-17)*$B$6</f>
        <v>0.52</v>
      </c>
      <c r="R121" s="43" t="n">
        <f aca="false">IFERROR(SUMPRODUCT(Normalizacao!$AL$5:$AL$17,Pesos_Indicadores!$I$5:$I$17,((Pesos_Indicadores!$B$5:$B$17=$A$12)*Q121+(Pesos_Indicadores!$B$5:$B$17&lt;&gt;$A$12)*Pesos_Indicadores!$G$5:$G$17*(1-Q121)/(1-$B$12))),0)</f>
        <v>0.944615384615385</v>
      </c>
      <c r="S121" s="60" t="n">
        <f aca="false">IF(R121=0,"",IFERROR(SUMPRODUCT(Normalizacao!$AL$5:$AL$17,Pesos_Indicadores!$I$5:$I$17,((Pesos_Indicadores!$B$5:$B$17=$A$12)*Q121+(Pesos_Indicadores!$B$5:$B$17&lt;&gt;$A$12)*Pesos_Indicadores!$G$5:$G$17*(1-Q121)/(1-$B$12)),Normalizacao!$AI$5:$AI$17)/R121,""))</f>
        <v>0.73949287785389</v>
      </c>
      <c r="T121" s="60" t="n">
        <f aca="false">IF(R121=0,"",IFERROR(SUMPRODUCT(Normalizacao!$AL$5:$AL$17,Pesos_Indicadores!$I$5:$I$17,((Pesos_Indicadores!$B$5:$B$17=$A$12)*Q121+(Pesos_Indicadores!$B$5:$B$17&lt;&gt;$A$12)*Pesos_Indicadores!$G$5:$G$17*(1-Q121)/(1-$B$12)),Normalizacao!$AJ$5:$AJ$17)/R121,""))</f>
        <v>0.804630718028608</v>
      </c>
      <c r="U121" s="60" t="n">
        <f aca="false">IF(R121=0,"",IFERROR(SUMPRODUCT(Normalizacao!$AL$5:$AL$17,Pesos_Indicadores!$I$5:$I$17,((Pesos_Indicadores!$B$5:$B$17=$A$12)*Q121+(Pesos_Indicadores!$B$5:$B$17&lt;&gt;$A$12)*Pesos_Indicadores!$G$5:$G$17*(1-Q121)/(1-$B$12)),Normalizacao!$AK$5:$AK$17)/R121,""))</f>
        <v>0.840320514136104</v>
      </c>
      <c r="V121" s="17" t="str">
        <f aca="false">IF(S121="","",IF(INDEX(S121:U121,$B$5)&gt;=MAX(S121:U121),$B$4,INDEX(Pontuacao!$A$29:$A$31,MATCH(MAX(S121:U121),S121:U121,0))))</f>
        <v>Microsoft Azure</v>
      </c>
      <c r="W121" s="43" t="str">
        <f aca="false">IF(OR(V121="",V121=$B$4,ABS(Q121-$B$12)&lt;0.000000001),"",ABS(Q121-$B$12))</f>
        <v/>
      </c>
    </row>
    <row r="122" customFormat="false" ht="15" hidden="false" customHeight="true" outlineLevel="0" collapsed="false">
      <c r="A122" s="60" t="n">
        <f aca="false">(ROW()-17)*$B$6</f>
        <v>0.525</v>
      </c>
      <c r="B122" s="43" t="n">
        <f aca="false">IFERROR(SUMPRODUCT(Normalizacao!$AL$5:$AL$17,Pesos_Indicadores!$I$5:$I$17,((Pesos_Indicadores!$B$5:$B$17=$A$10)*A122+(Pesos_Indicadores!$B$5:$B$17&lt;&gt;$A$10)*Pesos_Indicadores!$G$5:$G$17*(1-A122)/(1-$B$10))),0)</f>
        <v>0.989038461538462</v>
      </c>
      <c r="C122" s="60" t="n">
        <f aca="false">IF(B122=0,"",IFERROR(SUMPRODUCT(Normalizacao!$AL$5:$AL$17,Pesos_Indicadores!$I$5:$I$17,((Pesos_Indicadores!$B$5:$B$17=$A$10)*A122+(Pesos_Indicadores!$B$5:$B$17&lt;&gt;$A$10)*Pesos_Indicadores!$G$5:$G$17*(1-A122)/(1-$B$10)),Normalizacao!$AI$5:$AI$17)/B122,""))</f>
        <v>0.690910163822681</v>
      </c>
      <c r="D122" s="60" t="n">
        <f aca="false">IF(B122=0,"",IFERROR(SUMPRODUCT(Normalizacao!$AL$5:$AL$17,Pesos_Indicadores!$I$5:$I$17,((Pesos_Indicadores!$B$5:$B$17=$A$10)*A122+(Pesos_Indicadores!$B$5:$B$17&lt;&gt;$A$10)*Pesos_Indicadores!$G$5:$G$17*(1-A122)/(1-$B$10)),Normalizacao!$AJ$5:$AJ$17)/B122,""))</f>
        <v>0.826999234924634</v>
      </c>
      <c r="E122" s="60" t="n">
        <f aca="false">IF(B122=0,"",IFERROR(SUMPRODUCT(Normalizacao!$AL$5:$AL$17,Pesos_Indicadores!$I$5:$I$17,((Pesos_Indicadores!$B$5:$B$17=$A$10)*A122+(Pesos_Indicadores!$B$5:$B$17&lt;&gt;$A$10)*Pesos_Indicadores!$G$5:$G$17*(1-A122)/(1-$B$10)),Normalizacao!$AK$5:$AK$17)/B122,""))</f>
        <v>0.856830953365607</v>
      </c>
      <c r="F122" s="17" t="str">
        <f aca="false">IF(C122="","",IF(INDEX(C122:E122,$B$5)&gt;=MAX(C122:E122),$B$4,INDEX(Pontuacao!$A$29:$A$31,MATCH(MAX(C122:E122),C122:E122,0))))</f>
        <v>Microsoft Azure</v>
      </c>
      <c r="G122" s="43" t="str">
        <f aca="false">IF(OR(F122="",F122=$B$4,ABS(A122-$B$10)&lt;0.000000001),"",ABS(A122-$B$10))</f>
        <v/>
      </c>
      <c r="I122" s="60" t="n">
        <f aca="false">(ROW()-17)*$B$6</f>
        <v>0.525</v>
      </c>
      <c r="J122" s="43" t="n">
        <f aca="false">IFERROR(SUMPRODUCT(Normalizacao!$AL$5:$AL$17,Pesos_Indicadores!$I$5:$I$17,((Pesos_Indicadores!$B$5:$B$17=$A$11)*I122+(Pesos_Indicadores!$B$5:$B$17&lt;&gt;$A$11)*Pesos_Indicadores!$G$5:$G$17*(1-I122)/(1-$B$11))),0)</f>
        <v>0.878846153846154</v>
      </c>
      <c r="K122" s="60" t="n">
        <f aca="false">IF(J122=0,"",IFERROR(SUMPRODUCT(Normalizacao!$AL$5:$AL$17,Pesos_Indicadores!$I$5:$I$17,((Pesos_Indicadores!$B$5:$B$17=$A$11)*I122+(Pesos_Indicadores!$B$5:$B$17&lt;&gt;$A$11)*Pesos_Indicadores!$G$5:$G$17*(1-I122)/(1-$B$11)),Normalizacao!$AI$5:$AI$17)/J122,""))</f>
        <v>0.789559152316621</v>
      </c>
      <c r="L122" s="60" t="n">
        <f aca="false">IF(J122=0,"",IFERROR(SUMPRODUCT(Normalizacao!$AL$5:$AL$17,Pesos_Indicadores!$I$5:$I$17,((Pesos_Indicadores!$B$5:$B$17=$A$11)*I122+(Pesos_Indicadores!$B$5:$B$17&lt;&gt;$A$11)*Pesos_Indicadores!$G$5:$G$17*(1-I122)/(1-$B$11)),Normalizacao!$AJ$5:$AJ$17)/J122,""))</f>
        <v>0.803415790600324</v>
      </c>
      <c r="M122" s="60" t="n">
        <f aca="false">IF(J122=0,"",IFERROR(SUMPRODUCT(Normalizacao!$AL$5:$AL$17,Pesos_Indicadores!$I$5:$I$17,((Pesos_Indicadores!$B$5:$B$17=$A$11)*I122+(Pesos_Indicadores!$B$5:$B$17&lt;&gt;$A$11)*Pesos_Indicadores!$G$5:$G$17*(1-I122)/(1-$B$11)),Normalizacao!$AK$5:$AK$17)/J122,""))</f>
        <v>0.833940592500169</v>
      </c>
      <c r="N122" s="17" t="str">
        <f aca="false">IF(K122="","",IF(INDEX(K122:M122,$B$5)&gt;=MAX(K122:M122),$B$4,INDEX(Pontuacao!$A$29:$A$31,MATCH(MAX(K122:M122),K122:M122,0))))</f>
        <v>Microsoft Azure</v>
      </c>
      <c r="O122" s="43" t="str">
        <f aca="false">IF(OR(N122="",N122=$B$4,ABS(I122-$B$11)&lt;0.000000001),"",ABS(I122-$B$11))</f>
        <v/>
      </c>
      <c r="Q122" s="60" t="n">
        <f aca="false">(ROW()-17)*$B$6</f>
        <v>0.525</v>
      </c>
      <c r="R122" s="43" t="n">
        <f aca="false">IFERROR(SUMPRODUCT(Normalizacao!$AL$5:$AL$17,Pesos_Indicadores!$I$5:$I$17,((Pesos_Indicadores!$B$5:$B$17=$A$12)*Q122+(Pesos_Indicadores!$B$5:$B$17&lt;&gt;$A$12)*Pesos_Indicadores!$G$5:$G$17*(1-Q122)/(1-$B$12))),0)</f>
        <v>0.945192307692308</v>
      </c>
      <c r="S122" s="60" t="n">
        <f aca="false">IF(R122=0,"",IFERROR(SUMPRODUCT(Normalizacao!$AL$5:$AL$17,Pesos_Indicadores!$I$5:$I$17,((Pesos_Indicadores!$B$5:$B$17=$A$12)*Q122+(Pesos_Indicadores!$B$5:$B$17&lt;&gt;$A$12)*Pesos_Indicadores!$G$5:$G$17*(1-Q122)/(1-$B$12)),Normalizacao!$AI$5:$AI$17)/R122,""))</f>
        <v>0.739608673537087</v>
      </c>
      <c r="T122" s="60" t="n">
        <f aca="false">IF(R122=0,"",IFERROR(SUMPRODUCT(Normalizacao!$AL$5:$AL$17,Pesos_Indicadores!$I$5:$I$17,((Pesos_Indicadores!$B$5:$B$17=$A$12)*Q122+(Pesos_Indicadores!$B$5:$B$17&lt;&gt;$A$12)*Pesos_Indicadores!$G$5:$G$17*(1-Q122)/(1-$B$12)),Normalizacao!$AJ$5:$AJ$17)/R122,""))</f>
        <v>0.804028650095095</v>
      </c>
      <c r="U122" s="60" t="n">
        <f aca="false">IF(R122=0,"",IFERROR(SUMPRODUCT(Normalizacao!$AL$5:$AL$17,Pesos_Indicadores!$I$5:$I$17,((Pesos_Indicadores!$B$5:$B$17=$A$12)*Q122+(Pesos_Indicadores!$B$5:$B$17&lt;&gt;$A$12)*Pesos_Indicadores!$G$5:$G$17*(1-Q122)/(1-$B$12)),Normalizacao!$AK$5:$AK$17)/R122,""))</f>
        <v>0.840013913013885</v>
      </c>
      <c r="V122" s="17" t="str">
        <f aca="false">IF(S122="","",IF(INDEX(S122:U122,$B$5)&gt;=MAX(S122:U122),$B$4,INDEX(Pontuacao!$A$29:$A$31,MATCH(MAX(S122:U122),S122:U122,0))))</f>
        <v>Microsoft Azure</v>
      </c>
      <c r="W122" s="43" t="str">
        <f aca="false">IF(OR(V122="",V122=$B$4,ABS(Q122-$B$12)&lt;0.000000001),"",ABS(Q122-$B$12))</f>
        <v/>
      </c>
    </row>
    <row r="123" customFormat="false" ht="15" hidden="false" customHeight="true" outlineLevel="0" collapsed="false">
      <c r="A123" s="60" t="n">
        <f aca="false">(ROW()-17)*$B$6</f>
        <v>0.53</v>
      </c>
      <c r="B123" s="43" t="n">
        <f aca="false">IFERROR(SUMPRODUCT(Normalizacao!$AL$5:$AL$17,Pesos_Indicadores!$I$5:$I$17,((Pesos_Indicadores!$B$5:$B$17=$A$10)*A123+(Pesos_Indicadores!$B$5:$B$17&lt;&gt;$A$10)*Pesos_Indicadores!$G$5:$G$17*(1-A123)/(1-$B$10))),0)</f>
        <v>0.989153846153846</v>
      </c>
      <c r="C123" s="60" t="n">
        <f aca="false">IF(B123=0,"",IFERROR(SUMPRODUCT(Normalizacao!$AL$5:$AL$17,Pesos_Indicadores!$I$5:$I$17,((Pesos_Indicadores!$B$5:$B$17=$A$10)*A123+(Pesos_Indicadores!$B$5:$B$17&lt;&gt;$A$10)*Pesos_Indicadores!$G$5:$G$17*(1-A123)/(1-$B$10)),Normalizacao!$AI$5:$AI$17)/B123,""))</f>
        <v>0.690280298566587</v>
      </c>
      <c r="D123" s="60" t="n">
        <f aca="false">IF(B123=0,"",IFERROR(SUMPRODUCT(Normalizacao!$AL$5:$AL$17,Pesos_Indicadores!$I$5:$I$17,((Pesos_Indicadores!$B$5:$B$17=$A$10)*A123+(Pesos_Indicadores!$B$5:$B$17&lt;&gt;$A$10)*Pesos_Indicadores!$G$5:$G$17*(1-A123)/(1-$B$10)),Normalizacao!$AJ$5:$AJ$17)/B123,""))</f>
        <v>0.827649430106473</v>
      </c>
      <c r="E123" s="60" t="n">
        <f aca="false">IF(B123=0,"",IFERROR(SUMPRODUCT(Normalizacao!$AL$5:$AL$17,Pesos_Indicadores!$I$5:$I$17,((Pesos_Indicadores!$B$5:$B$17=$A$10)*A123+(Pesos_Indicadores!$B$5:$B$17&lt;&gt;$A$10)*Pesos_Indicadores!$G$5:$G$17*(1-A123)/(1-$B$10)),Normalizacao!$AK$5:$AK$17)/B123,""))</f>
        <v>0.857220425363168</v>
      </c>
      <c r="F123" s="17" t="str">
        <f aca="false">IF(C123="","",IF(INDEX(C123:E123,$B$5)&gt;=MAX(C123:E123),$B$4,INDEX(Pontuacao!$A$29:$A$31,MATCH(MAX(C123:E123),C123:E123,0))))</f>
        <v>Microsoft Azure</v>
      </c>
      <c r="G123" s="43" t="str">
        <f aca="false">IF(OR(F123="",F123=$B$4,ABS(A123-$B$10)&lt;0.000000001),"",ABS(A123-$B$10))</f>
        <v/>
      </c>
      <c r="I123" s="60" t="n">
        <f aca="false">(ROW()-17)*$B$6</f>
        <v>0.53</v>
      </c>
      <c r="J123" s="43" t="n">
        <f aca="false">IFERROR(SUMPRODUCT(Normalizacao!$AL$5:$AL$17,Pesos_Indicadores!$I$5:$I$17,((Pesos_Indicadores!$B$5:$B$17=$A$11)*I123+(Pesos_Indicadores!$B$5:$B$17&lt;&gt;$A$11)*Pesos_Indicadores!$G$5:$G$17*(1-I123)/(1-$B$11))),0)</f>
        <v>0.877692307692308</v>
      </c>
      <c r="K123" s="60" t="n">
        <f aca="false">IF(J123=0,"",IFERROR(SUMPRODUCT(Normalizacao!$AL$5:$AL$17,Pesos_Indicadores!$I$5:$I$17,((Pesos_Indicadores!$B$5:$B$17=$A$11)*I123+(Pesos_Indicadores!$B$5:$B$17&lt;&gt;$A$11)*Pesos_Indicadores!$G$5:$G$17*(1-I123)/(1-$B$11)),Normalizacao!$AI$5:$AI$17)/J123,""))</f>
        <v>0.790116750431694</v>
      </c>
      <c r="L123" s="60" t="n">
        <f aca="false">IF(J123=0,"",IFERROR(SUMPRODUCT(Normalizacao!$AL$5:$AL$17,Pesos_Indicadores!$I$5:$I$17,((Pesos_Indicadores!$B$5:$B$17=$A$11)*I123+(Pesos_Indicadores!$B$5:$B$17&lt;&gt;$A$11)*Pesos_Indicadores!$G$5:$G$17*(1-I123)/(1-$B$11)),Normalizacao!$AJ$5:$AJ$17)/J123,""))</f>
        <v>0.803845554052509</v>
      </c>
      <c r="M123" s="60" t="n">
        <f aca="false">IF(J123=0,"",IFERROR(SUMPRODUCT(Normalizacao!$AL$5:$AL$17,Pesos_Indicadores!$I$5:$I$17,((Pesos_Indicadores!$B$5:$B$17=$A$11)*I123+(Pesos_Indicadores!$B$5:$B$17&lt;&gt;$A$11)*Pesos_Indicadores!$G$5:$G$17*(1-I123)/(1-$B$11)),Normalizacao!$AK$5:$AK$17)/J123,""))</f>
        <v>0.834085427331077</v>
      </c>
      <c r="N123" s="17" t="str">
        <f aca="false">IF(K123="","",IF(INDEX(K123:M123,$B$5)&gt;=MAX(K123:M123),$B$4,INDEX(Pontuacao!$A$29:$A$31,MATCH(MAX(K123:M123),K123:M123,0))))</f>
        <v>Microsoft Azure</v>
      </c>
      <c r="O123" s="43" t="str">
        <f aca="false">IF(OR(N123="",N123=$B$4,ABS(I123-$B$11)&lt;0.000000001),"",ABS(I123-$B$11))</f>
        <v/>
      </c>
      <c r="Q123" s="60" t="n">
        <f aca="false">(ROW()-17)*$B$6</f>
        <v>0.53</v>
      </c>
      <c r="R123" s="43" t="n">
        <f aca="false">IFERROR(SUMPRODUCT(Normalizacao!$AL$5:$AL$17,Pesos_Indicadores!$I$5:$I$17,((Pesos_Indicadores!$B$5:$B$17=$A$12)*Q123+(Pesos_Indicadores!$B$5:$B$17&lt;&gt;$A$12)*Pesos_Indicadores!$G$5:$G$17*(1-Q123)/(1-$B$12))),0)</f>
        <v>0.945769230769231</v>
      </c>
      <c r="S123" s="60" t="n">
        <f aca="false">IF(R123=0,"",IFERROR(SUMPRODUCT(Normalizacao!$AL$5:$AL$17,Pesos_Indicadores!$I$5:$I$17,((Pesos_Indicadores!$B$5:$B$17=$A$12)*Q123+(Pesos_Indicadores!$B$5:$B$17&lt;&gt;$A$12)*Pesos_Indicadores!$G$5:$G$17*(1-Q123)/(1-$B$12)),Normalizacao!$AI$5:$AI$17)/R123,""))</f>
        <v>0.739724327948609</v>
      </c>
      <c r="T123" s="60" t="n">
        <f aca="false">IF(R123=0,"",IFERROR(SUMPRODUCT(Normalizacao!$AL$5:$AL$17,Pesos_Indicadores!$I$5:$I$17,((Pesos_Indicadores!$B$5:$B$17=$A$12)*Q123+(Pesos_Indicadores!$B$5:$B$17&lt;&gt;$A$12)*Pesos_Indicadores!$G$5:$G$17*(1-Q123)/(1-$B$12)),Normalizacao!$AJ$5:$AJ$17)/R123,""))</f>
        <v>0.803427316689358</v>
      </c>
      <c r="U123" s="60" t="n">
        <f aca="false">IF(R123=0,"",IFERROR(SUMPRODUCT(Normalizacao!$AL$5:$AL$17,Pesos_Indicadores!$I$5:$I$17,((Pesos_Indicadores!$B$5:$B$17=$A$12)*Q123+(Pesos_Indicadores!$B$5:$B$17&lt;&gt;$A$12)*Pesos_Indicadores!$G$5:$G$17*(1-Q123)/(1-$B$12)),Normalizacao!$AK$5:$AK$17)/R123,""))</f>
        <v>0.839707685947529</v>
      </c>
      <c r="V123" s="17" t="str">
        <f aca="false">IF(S123="","",IF(INDEX(S123:U123,$B$5)&gt;=MAX(S123:U123),$B$4,INDEX(Pontuacao!$A$29:$A$31,MATCH(MAX(S123:U123),S123:U123,0))))</f>
        <v>Microsoft Azure</v>
      </c>
      <c r="W123" s="43" t="str">
        <f aca="false">IF(OR(V123="",V123=$B$4,ABS(Q123-$B$12)&lt;0.000000001),"",ABS(Q123-$B$12))</f>
        <v/>
      </c>
    </row>
    <row r="124" customFormat="false" ht="15" hidden="false" customHeight="true" outlineLevel="0" collapsed="false">
      <c r="A124" s="60" t="n">
        <f aca="false">(ROW()-17)*$B$6</f>
        <v>0.535</v>
      </c>
      <c r="B124" s="43" t="n">
        <f aca="false">IFERROR(SUMPRODUCT(Normalizacao!$AL$5:$AL$17,Pesos_Indicadores!$I$5:$I$17,((Pesos_Indicadores!$B$5:$B$17=$A$10)*A124+(Pesos_Indicadores!$B$5:$B$17&lt;&gt;$A$10)*Pesos_Indicadores!$G$5:$G$17*(1-A124)/(1-$B$10))),0)</f>
        <v>0.989269230769231</v>
      </c>
      <c r="C124" s="60" t="n">
        <f aca="false">IF(B124=0,"",IFERROR(SUMPRODUCT(Normalizacao!$AL$5:$AL$17,Pesos_Indicadores!$I$5:$I$17,((Pesos_Indicadores!$B$5:$B$17=$A$10)*A124+(Pesos_Indicadores!$B$5:$B$17&lt;&gt;$A$10)*Pesos_Indicadores!$G$5:$G$17*(1-A124)/(1-$B$10)),Normalizacao!$AI$5:$AI$17)/B124,""))</f>
        <v>0.689650580240687</v>
      </c>
      <c r="D124" s="60" t="n">
        <f aca="false">IF(B124=0,"",IFERROR(SUMPRODUCT(Normalizacao!$AL$5:$AL$17,Pesos_Indicadores!$I$5:$I$17,((Pesos_Indicadores!$B$5:$B$17=$A$10)*A124+(Pesos_Indicadores!$B$5:$B$17&lt;&gt;$A$10)*Pesos_Indicadores!$G$5:$G$17*(1-A124)/(1-$B$10)),Normalizacao!$AJ$5:$AJ$17)/B124,""))</f>
        <v>0.828299473615706</v>
      </c>
      <c r="E124" s="60" t="n">
        <f aca="false">IF(B124=0,"",IFERROR(SUMPRODUCT(Normalizacao!$AL$5:$AL$17,Pesos_Indicadores!$I$5:$I$17,((Pesos_Indicadores!$B$5:$B$17=$A$10)*A124+(Pesos_Indicadores!$B$5:$B$17&lt;&gt;$A$10)*Pesos_Indicadores!$G$5:$G$17*(1-A124)/(1-$B$10)),Normalizacao!$AK$5:$AK$17)/B124,""))</f>
        <v>0.857609806507652</v>
      </c>
      <c r="F124" s="17" t="str">
        <f aca="false">IF(C124="","",IF(INDEX(C124:E124,$B$5)&gt;=MAX(C124:E124),$B$4,INDEX(Pontuacao!$A$29:$A$31,MATCH(MAX(C124:E124),C124:E124,0))))</f>
        <v>Microsoft Azure</v>
      </c>
      <c r="G124" s="43" t="str">
        <f aca="false">IF(OR(F124="",F124=$B$4,ABS(A124-$B$10)&lt;0.000000001),"",ABS(A124-$B$10))</f>
        <v/>
      </c>
      <c r="I124" s="60" t="n">
        <f aca="false">(ROW()-17)*$B$6</f>
        <v>0.535</v>
      </c>
      <c r="J124" s="43" t="n">
        <f aca="false">IFERROR(SUMPRODUCT(Normalizacao!$AL$5:$AL$17,Pesos_Indicadores!$I$5:$I$17,((Pesos_Indicadores!$B$5:$B$17=$A$11)*I124+(Pesos_Indicadores!$B$5:$B$17&lt;&gt;$A$11)*Pesos_Indicadores!$G$5:$G$17*(1-I124)/(1-$B$11))),0)</f>
        <v>0.876538461538462</v>
      </c>
      <c r="K124" s="60" t="n">
        <f aca="false">IF(J124=0,"",IFERROR(SUMPRODUCT(Normalizacao!$AL$5:$AL$17,Pesos_Indicadores!$I$5:$I$17,((Pesos_Indicadores!$B$5:$B$17=$A$11)*I124+(Pesos_Indicadores!$B$5:$B$17&lt;&gt;$A$11)*Pesos_Indicadores!$G$5:$G$17*(1-I124)/(1-$B$11)),Normalizacao!$AI$5:$AI$17)/J124,""))</f>
        <v>0.790675816554091</v>
      </c>
      <c r="L124" s="60" t="n">
        <f aca="false">IF(J124=0,"",IFERROR(SUMPRODUCT(Normalizacao!$AL$5:$AL$17,Pesos_Indicadores!$I$5:$I$17,((Pesos_Indicadores!$B$5:$B$17=$A$11)*I124+(Pesos_Indicadores!$B$5:$B$17&lt;&gt;$A$11)*Pesos_Indicadores!$G$5:$G$17*(1-I124)/(1-$B$11)),Normalizacao!$AJ$5:$AJ$17)/J124,""))</f>
        <v>0.804276448957399</v>
      </c>
      <c r="M124" s="60" t="n">
        <f aca="false">IF(J124=0,"",IFERROR(SUMPRODUCT(Normalizacao!$AL$5:$AL$17,Pesos_Indicadores!$I$5:$I$17,((Pesos_Indicadores!$B$5:$B$17=$A$11)*I124+(Pesos_Indicadores!$B$5:$B$17&lt;&gt;$A$11)*Pesos_Indicadores!$G$5:$G$17*(1-I124)/(1-$B$11)),Normalizacao!$AK$5:$AK$17)/J124,""))</f>
        <v>0.834230643473518</v>
      </c>
      <c r="N124" s="17" t="str">
        <f aca="false">IF(K124="","",IF(INDEX(K124:M124,$B$5)&gt;=MAX(K124:M124),$B$4,INDEX(Pontuacao!$A$29:$A$31,MATCH(MAX(K124:M124),K124:M124,0))))</f>
        <v>Microsoft Azure</v>
      </c>
      <c r="O124" s="43" t="str">
        <f aca="false">IF(OR(N124="",N124=$B$4,ABS(I124-$B$11)&lt;0.000000001),"",ABS(I124-$B$11))</f>
        <v/>
      </c>
      <c r="Q124" s="60" t="n">
        <f aca="false">(ROW()-17)*$B$6</f>
        <v>0.535</v>
      </c>
      <c r="R124" s="43" t="n">
        <f aca="false">IFERROR(SUMPRODUCT(Normalizacao!$AL$5:$AL$17,Pesos_Indicadores!$I$5:$I$17,((Pesos_Indicadores!$B$5:$B$17=$A$12)*Q124+(Pesos_Indicadores!$B$5:$B$17&lt;&gt;$A$12)*Pesos_Indicadores!$G$5:$G$17*(1-Q124)/(1-$B$12))),0)</f>
        <v>0.946346153846154</v>
      </c>
      <c r="S124" s="60" t="n">
        <f aca="false">IF(R124=0,"",IFERROR(SUMPRODUCT(Normalizacao!$AL$5:$AL$17,Pesos_Indicadores!$I$5:$I$17,((Pesos_Indicadores!$B$5:$B$17=$A$12)*Q124+(Pesos_Indicadores!$B$5:$B$17&lt;&gt;$A$12)*Pesos_Indicadores!$G$5:$G$17*(1-Q124)/(1-$B$12)),Normalizacao!$AI$5:$AI$17)/R124,""))</f>
        <v>0.739839841346827</v>
      </c>
      <c r="T124" s="60" t="n">
        <f aca="false">IF(R124=0,"",IFERROR(SUMPRODUCT(Normalizacao!$AL$5:$AL$17,Pesos_Indicadores!$I$5:$I$17,((Pesos_Indicadores!$B$5:$B$17=$A$12)*Q124+(Pesos_Indicadores!$B$5:$B$17&lt;&gt;$A$12)*Pesos_Indicadores!$G$5:$G$17*(1-Q124)/(1-$B$12)),Normalizacao!$AJ$5:$AJ$17)/R124,""))</f>
        <v>0.802826716468021</v>
      </c>
      <c r="U124" s="60" t="n">
        <f aca="false">IF(R124=0,"",IFERROR(SUMPRODUCT(Normalizacao!$AL$5:$AL$17,Pesos_Indicadores!$I$5:$I$17,((Pesos_Indicadores!$B$5:$B$17=$A$12)*Q124+(Pesos_Indicadores!$B$5:$B$17&lt;&gt;$A$12)*Pesos_Indicadores!$G$5:$G$17*(1-Q124)/(1-$B$12)),Normalizacao!$AK$5:$AK$17)/R124,""))</f>
        <v>0.839401832252927</v>
      </c>
      <c r="V124" s="17" t="str">
        <f aca="false">IF(S124="","",IF(INDEX(S124:U124,$B$5)&gt;=MAX(S124:U124),$B$4,INDEX(Pontuacao!$A$29:$A$31,MATCH(MAX(S124:U124),S124:U124,0))))</f>
        <v>Microsoft Azure</v>
      </c>
      <c r="W124" s="43" t="str">
        <f aca="false">IF(OR(V124="",V124=$B$4,ABS(Q124-$B$12)&lt;0.000000001),"",ABS(Q124-$B$12))</f>
        <v/>
      </c>
    </row>
    <row r="125" customFormat="false" ht="15" hidden="false" customHeight="true" outlineLevel="0" collapsed="false">
      <c r="A125" s="60" t="n">
        <f aca="false">(ROW()-17)*$B$6</f>
        <v>0.54</v>
      </c>
      <c r="B125" s="43" t="n">
        <f aca="false">IFERROR(SUMPRODUCT(Normalizacao!$AL$5:$AL$17,Pesos_Indicadores!$I$5:$I$17,((Pesos_Indicadores!$B$5:$B$17=$A$10)*A125+(Pesos_Indicadores!$B$5:$B$17&lt;&gt;$A$10)*Pesos_Indicadores!$G$5:$G$17*(1-A125)/(1-$B$10))),0)</f>
        <v>0.989384615384615</v>
      </c>
      <c r="C125" s="60" t="n">
        <f aca="false">IF(B125=0,"",IFERROR(SUMPRODUCT(Normalizacao!$AL$5:$AL$17,Pesos_Indicadores!$I$5:$I$17,((Pesos_Indicadores!$B$5:$B$17=$A$10)*A125+(Pesos_Indicadores!$B$5:$B$17&lt;&gt;$A$10)*Pesos_Indicadores!$G$5:$G$17*(1-A125)/(1-$B$10)),Normalizacao!$AI$5:$AI$17)/B125,""))</f>
        <v>0.689021008793576</v>
      </c>
      <c r="D125" s="60" t="n">
        <f aca="false">IF(B125=0,"",IFERROR(SUMPRODUCT(Normalizacao!$AL$5:$AL$17,Pesos_Indicadores!$I$5:$I$17,((Pesos_Indicadores!$B$5:$B$17=$A$10)*A125+(Pesos_Indicadores!$B$5:$B$17&lt;&gt;$A$10)*Pesos_Indicadores!$G$5:$G$17*(1-A125)/(1-$B$10)),Normalizacao!$AJ$5:$AJ$17)/B125,""))</f>
        <v>0.828949365505398</v>
      </c>
      <c r="E125" s="60" t="n">
        <f aca="false">IF(B125=0,"",IFERROR(SUMPRODUCT(Normalizacao!$AL$5:$AL$17,Pesos_Indicadores!$I$5:$I$17,((Pesos_Indicadores!$B$5:$B$17=$A$10)*A125+(Pesos_Indicadores!$B$5:$B$17&lt;&gt;$A$10)*Pesos_Indicadores!$G$5:$G$17*(1-A125)/(1-$B$10)),Normalizacao!$AK$5:$AK$17)/B125,""))</f>
        <v>0.857999096830846</v>
      </c>
      <c r="F125" s="17" t="str">
        <f aca="false">IF(C125="","",IF(INDEX(C125:E125,$B$5)&gt;=MAX(C125:E125),$B$4,INDEX(Pontuacao!$A$29:$A$31,MATCH(MAX(C125:E125),C125:E125,0))))</f>
        <v>Microsoft Azure</v>
      </c>
      <c r="G125" s="43" t="str">
        <f aca="false">IF(OR(F125="",F125=$B$4,ABS(A125-$B$10)&lt;0.000000001),"",ABS(A125-$B$10))</f>
        <v/>
      </c>
      <c r="I125" s="60" t="n">
        <f aca="false">(ROW()-17)*$B$6</f>
        <v>0.54</v>
      </c>
      <c r="J125" s="43" t="n">
        <f aca="false">IFERROR(SUMPRODUCT(Normalizacao!$AL$5:$AL$17,Pesos_Indicadores!$I$5:$I$17,((Pesos_Indicadores!$B$5:$B$17=$A$11)*I125+(Pesos_Indicadores!$B$5:$B$17&lt;&gt;$A$11)*Pesos_Indicadores!$G$5:$G$17*(1-I125)/(1-$B$11))),0)</f>
        <v>0.875384615384615</v>
      </c>
      <c r="K125" s="60" t="n">
        <f aca="false">IF(J125=0,"",IFERROR(SUMPRODUCT(Normalizacao!$AL$5:$AL$17,Pesos_Indicadores!$I$5:$I$17,((Pesos_Indicadores!$B$5:$B$17=$A$11)*I125+(Pesos_Indicadores!$B$5:$B$17&lt;&gt;$A$11)*Pesos_Indicadores!$G$5:$G$17*(1-I125)/(1-$B$11)),Normalizacao!$AI$5:$AI$17)/J125,""))</f>
        <v>0.791236356488761</v>
      </c>
      <c r="L125" s="60" t="n">
        <f aca="false">IF(J125=0,"",IFERROR(SUMPRODUCT(Normalizacao!$AL$5:$AL$17,Pesos_Indicadores!$I$5:$I$17,((Pesos_Indicadores!$B$5:$B$17=$A$11)*I125+(Pesos_Indicadores!$B$5:$B$17&lt;&gt;$A$11)*Pesos_Indicadores!$G$5:$G$17*(1-I125)/(1-$B$11)),Normalizacao!$AJ$5:$AJ$17)/J125,""))</f>
        <v>0.804708479789104</v>
      </c>
      <c r="M125" s="60" t="n">
        <f aca="false">IF(J125=0,"",IFERROR(SUMPRODUCT(Normalizacao!$AL$5:$AL$17,Pesos_Indicadores!$I$5:$I$17,((Pesos_Indicadores!$B$5:$B$17=$A$11)*I125+(Pesos_Indicadores!$B$5:$B$17&lt;&gt;$A$11)*Pesos_Indicadores!$G$5:$G$17*(1-I125)/(1-$B$11)),Normalizacao!$AK$5:$AK$17)/J125,""))</f>
        <v>0.834376242435316</v>
      </c>
      <c r="N125" s="17" t="str">
        <f aca="false">IF(K125="","",IF(INDEX(K125:M125,$B$5)&gt;=MAX(K125:M125),$B$4,INDEX(Pontuacao!$A$29:$A$31,MATCH(MAX(K125:M125),K125:M125,0))))</f>
        <v>Microsoft Azure</v>
      </c>
      <c r="O125" s="43" t="str">
        <f aca="false">IF(OR(N125="",N125=$B$4,ABS(I125-$B$11)&lt;0.000000001),"",ABS(I125-$B$11))</f>
        <v/>
      </c>
      <c r="Q125" s="60" t="n">
        <f aca="false">(ROW()-17)*$B$6</f>
        <v>0.54</v>
      </c>
      <c r="R125" s="43" t="n">
        <f aca="false">IFERROR(SUMPRODUCT(Normalizacao!$AL$5:$AL$17,Pesos_Indicadores!$I$5:$I$17,((Pesos_Indicadores!$B$5:$B$17=$A$12)*Q125+(Pesos_Indicadores!$B$5:$B$17&lt;&gt;$A$12)*Pesos_Indicadores!$G$5:$G$17*(1-Q125)/(1-$B$12))),0)</f>
        <v>0.946923076923077</v>
      </c>
      <c r="S125" s="60" t="n">
        <f aca="false">IF(R125=0,"",IFERROR(SUMPRODUCT(Normalizacao!$AL$5:$AL$17,Pesos_Indicadores!$I$5:$I$17,((Pesos_Indicadores!$B$5:$B$17=$A$12)*Q125+(Pesos_Indicadores!$B$5:$B$17&lt;&gt;$A$12)*Pesos_Indicadores!$G$5:$G$17*(1-Q125)/(1-$B$12)),Normalizacao!$AI$5:$AI$17)/R125,""))</f>
        <v>0.739955213989482</v>
      </c>
      <c r="T125" s="60" t="n">
        <f aca="false">IF(R125=0,"",IFERROR(SUMPRODUCT(Normalizacao!$AL$5:$AL$17,Pesos_Indicadores!$I$5:$I$17,((Pesos_Indicadores!$B$5:$B$17=$A$12)*Q125+(Pesos_Indicadores!$B$5:$B$17&lt;&gt;$A$12)*Pesos_Indicadores!$G$5:$G$17*(1-Q125)/(1-$B$12)),Normalizacao!$AJ$5:$AJ$17)/R125,""))</f>
        <v>0.802226848090983</v>
      </c>
      <c r="U125" s="60" t="n">
        <f aca="false">IF(R125=0,"",IFERROR(SUMPRODUCT(Normalizacao!$AL$5:$AL$17,Pesos_Indicadores!$I$5:$I$17,((Pesos_Indicadores!$B$5:$B$17=$A$12)*Q125+(Pesos_Indicadores!$B$5:$B$17&lt;&gt;$A$12)*Pesos_Indicadores!$G$5:$G$17*(1-Q125)/(1-$B$12)),Normalizacao!$AK$5:$AK$17)/R125,""))</f>
        <v>0.839096351247635</v>
      </c>
      <c r="V125" s="17" t="str">
        <f aca="false">IF(S125="","",IF(INDEX(S125:U125,$B$5)&gt;=MAX(S125:U125),$B$4,INDEX(Pontuacao!$A$29:$A$31,MATCH(MAX(S125:U125),S125:U125,0))))</f>
        <v>Microsoft Azure</v>
      </c>
      <c r="W125" s="43" t="str">
        <f aca="false">IF(OR(V125="",V125=$B$4,ABS(Q125-$B$12)&lt;0.000000001),"",ABS(Q125-$B$12))</f>
        <v/>
      </c>
    </row>
    <row r="126" customFormat="false" ht="15" hidden="false" customHeight="true" outlineLevel="0" collapsed="false">
      <c r="A126" s="60" t="n">
        <f aca="false">(ROW()-17)*$B$6</f>
        <v>0.545</v>
      </c>
      <c r="B126" s="43" t="n">
        <f aca="false">IFERROR(SUMPRODUCT(Normalizacao!$AL$5:$AL$17,Pesos_Indicadores!$I$5:$I$17,((Pesos_Indicadores!$B$5:$B$17=$A$10)*A126+(Pesos_Indicadores!$B$5:$B$17&lt;&gt;$A$10)*Pesos_Indicadores!$G$5:$G$17*(1-A126)/(1-$B$10))),0)</f>
        <v>0.9895</v>
      </c>
      <c r="C126" s="60" t="n">
        <f aca="false">IF(B126=0,"",IFERROR(SUMPRODUCT(Normalizacao!$AL$5:$AL$17,Pesos_Indicadores!$I$5:$I$17,((Pesos_Indicadores!$B$5:$B$17=$A$10)*A126+(Pesos_Indicadores!$B$5:$B$17&lt;&gt;$A$10)*Pesos_Indicadores!$G$5:$G$17*(1-A126)/(1-$B$10)),Normalizacao!$AI$5:$AI$17)/B126,""))</f>
        <v>0.688391584173872</v>
      </c>
      <c r="D126" s="60" t="n">
        <f aca="false">IF(B126=0,"",IFERROR(SUMPRODUCT(Normalizacao!$AL$5:$AL$17,Pesos_Indicadores!$I$5:$I$17,((Pesos_Indicadores!$B$5:$B$17=$A$10)*A126+(Pesos_Indicadores!$B$5:$B$17&lt;&gt;$A$10)*Pesos_Indicadores!$G$5:$G$17*(1-A126)/(1-$B$10)),Normalizacao!$AJ$5:$AJ$17)/B126,""))</f>
        <v>0.829599105828592</v>
      </c>
      <c r="E126" s="60" t="n">
        <f aca="false">IF(B126=0,"",IFERROR(SUMPRODUCT(Normalizacao!$AL$5:$AL$17,Pesos_Indicadores!$I$5:$I$17,((Pesos_Indicadores!$B$5:$B$17=$A$10)*A126+(Pesos_Indicadores!$B$5:$B$17&lt;&gt;$A$10)*Pesos_Indicadores!$G$5:$G$17*(1-A126)/(1-$B$10)),Normalizacao!$AK$5:$AK$17)/B126,""))</f>
        <v>0.858388296364522</v>
      </c>
      <c r="F126" s="17" t="str">
        <f aca="false">IF(C126="","",IF(INDEX(C126:E126,$B$5)&gt;=MAX(C126:E126),$B$4,INDEX(Pontuacao!$A$29:$A$31,MATCH(MAX(C126:E126),C126:E126,0))))</f>
        <v>Microsoft Azure</v>
      </c>
      <c r="G126" s="43" t="str">
        <f aca="false">IF(OR(F126="",F126=$B$4,ABS(A126-$B$10)&lt;0.000000001),"",ABS(A126-$B$10))</f>
        <v/>
      </c>
      <c r="I126" s="60" t="n">
        <f aca="false">(ROW()-17)*$B$6</f>
        <v>0.545</v>
      </c>
      <c r="J126" s="43" t="n">
        <f aca="false">IFERROR(SUMPRODUCT(Normalizacao!$AL$5:$AL$17,Pesos_Indicadores!$I$5:$I$17,((Pesos_Indicadores!$B$5:$B$17=$A$11)*I126+(Pesos_Indicadores!$B$5:$B$17&lt;&gt;$A$11)*Pesos_Indicadores!$G$5:$G$17*(1-I126)/(1-$B$11))),0)</f>
        <v>0.874230769230769</v>
      </c>
      <c r="K126" s="60" t="n">
        <f aca="false">IF(J126=0,"",IFERROR(SUMPRODUCT(Normalizacao!$AL$5:$AL$17,Pesos_Indicadores!$I$5:$I$17,((Pesos_Indicadores!$B$5:$B$17=$A$11)*I126+(Pesos_Indicadores!$B$5:$B$17&lt;&gt;$A$11)*Pesos_Indicadores!$G$5:$G$17*(1-I126)/(1-$B$11)),Normalizacao!$AI$5:$AI$17)/J126,""))</f>
        <v>0.791798376071302</v>
      </c>
      <c r="L126" s="60" t="n">
        <f aca="false">IF(J126=0,"",IFERROR(SUMPRODUCT(Normalizacao!$AL$5:$AL$17,Pesos_Indicadores!$I$5:$I$17,((Pesos_Indicadores!$B$5:$B$17=$A$11)*I126+(Pesos_Indicadores!$B$5:$B$17&lt;&gt;$A$11)*Pesos_Indicadores!$G$5:$G$17*(1-I126)/(1-$B$11)),Normalizacao!$AJ$5:$AJ$17)/J126,""))</f>
        <v>0.805141651045353</v>
      </c>
      <c r="M126" s="60" t="n">
        <f aca="false">IF(J126=0,"",IFERROR(SUMPRODUCT(Normalizacao!$AL$5:$AL$17,Pesos_Indicadores!$I$5:$I$17,((Pesos_Indicadores!$B$5:$B$17=$A$11)*I126+(Pesos_Indicadores!$B$5:$B$17&lt;&gt;$A$11)*Pesos_Indicadores!$G$5:$G$17*(1-I126)/(1-$B$11)),Normalizacao!$AK$5:$AK$17)/J126,""))</f>
        <v>0.834522225732252</v>
      </c>
      <c r="N126" s="17" t="str">
        <f aca="false">IF(K126="","",IF(INDEX(K126:M126,$B$5)&gt;=MAX(K126:M126),$B$4,INDEX(Pontuacao!$A$29:$A$31,MATCH(MAX(K126:M126),K126:M126,0))))</f>
        <v>Microsoft Azure</v>
      </c>
      <c r="O126" s="43" t="str">
        <f aca="false">IF(OR(N126="",N126=$B$4,ABS(I126-$B$11)&lt;0.000000001),"",ABS(I126-$B$11))</f>
        <v/>
      </c>
      <c r="Q126" s="60" t="n">
        <f aca="false">(ROW()-17)*$B$6</f>
        <v>0.545</v>
      </c>
      <c r="R126" s="43" t="n">
        <f aca="false">IFERROR(SUMPRODUCT(Normalizacao!$AL$5:$AL$17,Pesos_Indicadores!$I$5:$I$17,((Pesos_Indicadores!$B$5:$B$17=$A$12)*Q126+(Pesos_Indicadores!$B$5:$B$17&lt;&gt;$A$12)*Pesos_Indicadores!$G$5:$G$17*(1-Q126)/(1-$B$12))),0)</f>
        <v>0.9475</v>
      </c>
      <c r="S126" s="60" t="n">
        <f aca="false">IF(R126=0,"",IFERROR(SUMPRODUCT(Normalizacao!$AL$5:$AL$17,Pesos_Indicadores!$I$5:$I$17,((Pesos_Indicadores!$B$5:$B$17=$A$12)*Q126+(Pesos_Indicadores!$B$5:$B$17&lt;&gt;$A$12)*Pesos_Indicadores!$G$5:$G$17*(1-Q126)/(1-$B$12)),Normalizacao!$AI$5:$AI$17)/R126,""))</f>
        <v>0.740070446133689</v>
      </c>
      <c r="T126" s="60" t="n">
        <f aca="false">IF(R126=0,"",IFERROR(SUMPRODUCT(Normalizacao!$AL$5:$AL$17,Pesos_Indicadores!$I$5:$I$17,((Pesos_Indicadores!$B$5:$B$17=$A$12)*Q126+(Pesos_Indicadores!$B$5:$B$17&lt;&gt;$A$12)*Pesos_Indicadores!$G$5:$G$17*(1-Q126)/(1-$B$12)),Normalizacao!$AJ$5:$AJ$17)/R126,""))</f>
        <v>0.801627710221407</v>
      </c>
      <c r="U126" s="60" t="n">
        <f aca="false">IF(R126=0,"",IFERROR(SUMPRODUCT(Normalizacao!$AL$5:$AL$17,Pesos_Indicadores!$I$5:$I$17,((Pesos_Indicadores!$B$5:$B$17=$A$12)*Q126+(Pesos_Indicadores!$B$5:$B$17&lt;&gt;$A$12)*Pesos_Indicadores!$G$5:$G$17*(1-Q126)/(1-$B$12)),Normalizacao!$AK$5:$AK$17)/R126,""))</f>
        <v>0.838791242250874</v>
      </c>
      <c r="V126" s="17" t="str">
        <f aca="false">IF(S126="","",IF(INDEX(S126:U126,$B$5)&gt;=MAX(S126:U126),$B$4,INDEX(Pontuacao!$A$29:$A$31,MATCH(MAX(S126:U126),S126:U126,0))))</f>
        <v>Microsoft Azure</v>
      </c>
      <c r="W126" s="43" t="str">
        <f aca="false">IF(OR(V126="",V126=$B$4,ABS(Q126-$B$12)&lt;0.000000001),"",ABS(Q126-$B$12))</f>
        <v/>
      </c>
    </row>
    <row r="127" customFormat="false" ht="15" hidden="false" customHeight="true" outlineLevel="0" collapsed="false">
      <c r="A127" s="60" t="n">
        <f aca="false">(ROW()-17)*$B$6</f>
        <v>0.55</v>
      </c>
      <c r="B127" s="43" t="n">
        <f aca="false">IFERROR(SUMPRODUCT(Normalizacao!$AL$5:$AL$17,Pesos_Indicadores!$I$5:$I$17,((Pesos_Indicadores!$B$5:$B$17=$A$10)*A127+(Pesos_Indicadores!$B$5:$B$17&lt;&gt;$A$10)*Pesos_Indicadores!$G$5:$G$17*(1-A127)/(1-$B$10))),0)</f>
        <v>0.989615384615385</v>
      </c>
      <c r="C127" s="60" t="n">
        <f aca="false">IF(B127=0,"",IFERROR(SUMPRODUCT(Normalizacao!$AL$5:$AL$17,Pesos_Indicadores!$I$5:$I$17,((Pesos_Indicadores!$B$5:$B$17=$A$10)*A127+(Pesos_Indicadores!$B$5:$B$17&lt;&gt;$A$10)*Pesos_Indicadores!$G$5:$G$17*(1-A127)/(1-$B$10)),Normalizacao!$AI$5:$AI$17)/B127,""))</f>
        <v>0.687762306330215</v>
      </c>
      <c r="D127" s="60" t="n">
        <f aca="false">IF(B127=0,"",IFERROR(SUMPRODUCT(Normalizacao!$AL$5:$AL$17,Pesos_Indicadores!$I$5:$I$17,((Pesos_Indicadores!$B$5:$B$17=$A$10)*A127+(Pesos_Indicadores!$B$5:$B$17&lt;&gt;$A$10)*Pesos_Indicadores!$G$5:$G$17*(1-A127)/(1-$B$10)),Normalizacao!$AJ$5:$AJ$17)/B127,""))</f>
        <v>0.830248694638301</v>
      </c>
      <c r="E127" s="60" t="n">
        <f aca="false">IF(B127=0,"",IFERROR(SUMPRODUCT(Normalizacao!$AL$5:$AL$17,Pesos_Indicadores!$I$5:$I$17,((Pesos_Indicadores!$B$5:$B$17=$A$10)*A127+(Pesos_Indicadores!$B$5:$B$17&lt;&gt;$A$10)*Pesos_Indicadores!$G$5:$G$17*(1-A127)/(1-$B$10)),Normalizacao!$AK$5:$AK$17)/B127,""))</f>
        <v>0.858777405140436</v>
      </c>
      <c r="F127" s="17" t="str">
        <f aca="false">IF(C127="","",IF(INDEX(C127:E127,$B$5)&gt;=MAX(C127:E127),$B$4,INDEX(Pontuacao!$A$29:$A$31,MATCH(MAX(C127:E127),C127:E127,0))))</f>
        <v>Microsoft Azure</v>
      </c>
      <c r="G127" s="43" t="str">
        <f aca="false">IF(OR(F127="",F127=$B$4,ABS(A127-$B$10)&lt;0.000000001),"",ABS(A127-$B$10))</f>
        <v/>
      </c>
      <c r="I127" s="60" t="n">
        <f aca="false">(ROW()-17)*$B$6</f>
        <v>0.55</v>
      </c>
      <c r="J127" s="43" t="n">
        <f aca="false">IFERROR(SUMPRODUCT(Normalizacao!$AL$5:$AL$17,Pesos_Indicadores!$I$5:$I$17,((Pesos_Indicadores!$B$5:$B$17=$A$11)*I127+(Pesos_Indicadores!$B$5:$B$17&lt;&gt;$A$11)*Pesos_Indicadores!$G$5:$G$17*(1-I127)/(1-$B$11))),0)</f>
        <v>0.873076923076923</v>
      </c>
      <c r="K127" s="60" t="n">
        <f aca="false">IF(J127=0,"",IFERROR(SUMPRODUCT(Normalizacao!$AL$5:$AL$17,Pesos_Indicadores!$I$5:$I$17,((Pesos_Indicadores!$B$5:$B$17=$A$11)*I127+(Pesos_Indicadores!$B$5:$B$17&lt;&gt;$A$11)*Pesos_Indicadores!$G$5:$G$17*(1-I127)/(1-$B$11)),Normalizacao!$AI$5:$AI$17)/J127,""))</f>
        <v>0.792361881168157</v>
      </c>
      <c r="L127" s="60" t="n">
        <f aca="false">IF(J127=0,"",IFERROR(SUMPRODUCT(Normalizacao!$AL$5:$AL$17,Pesos_Indicadores!$I$5:$I$17,((Pesos_Indicadores!$B$5:$B$17=$A$11)*I127+(Pesos_Indicadores!$B$5:$B$17&lt;&gt;$A$11)*Pesos_Indicadores!$G$5:$G$17*(1-I127)/(1-$B$11)),Normalizacao!$AJ$5:$AJ$17)/J127,""))</f>
        <v>0.805575967247654</v>
      </c>
      <c r="M127" s="60" t="n">
        <f aca="false">IF(J127=0,"",IFERROR(SUMPRODUCT(Normalizacao!$AL$5:$AL$17,Pesos_Indicadores!$I$5:$I$17,((Pesos_Indicadores!$B$5:$B$17=$A$11)*I127+(Pesos_Indicadores!$B$5:$B$17&lt;&gt;$A$11)*Pesos_Indicadores!$G$5:$G$17*(1-I127)/(1-$B$11)),Normalizacao!$AK$5:$AK$17)/J127,""))</f>
        <v>0.834668594888123</v>
      </c>
      <c r="N127" s="17" t="str">
        <f aca="false">IF(K127="","",IF(INDEX(K127:M127,$B$5)&gt;=MAX(K127:M127),$B$4,INDEX(Pontuacao!$A$29:$A$31,MATCH(MAX(K127:M127),K127:M127,0))))</f>
        <v>Microsoft Azure</v>
      </c>
      <c r="O127" s="43" t="str">
        <f aca="false">IF(OR(N127="",N127=$B$4,ABS(I127-$B$11)&lt;0.000000001),"",ABS(I127-$B$11))</f>
        <v/>
      </c>
      <c r="Q127" s="60" t="n">
        <f aca="false">(ROW()-17)*$B$6</f>
        <v>0.55</v>
      </c>
      <c r="R127" s="43" t="n">
        <f aca="false">IFERROR(SUMPRODUCT(Normalizacao!$AL$5:$AL$17,Pesos_Indicadores!$I$5:$I$17,((Pesos_Indicadores!$B$5:$B$17=$A$12)*Q127+(Pesos_Indicadores!$B$5:$B$17&lt;&gt;$A$12)*Pesos_Indicadores!$G$5:$G$17*(1-Q127)/(1-$B$12))),0)</f>
        <v>0.948076923076923</v>
      </c>
      <c r="S127" s="60" t="n">
        <f aca="false">IF(R127=0,"",IFERROR(SUMPRODUCT(Normalizacao!$AL$5:$AL$17,Pesos_Indicadores!$I$5:$I$17,((Pesos_Indicadores!$B$5:$B$17=$A$12)*Q127+(Pesos_Indicadores!$B$5:$B$17&lt;&gt;$A$12)*Pesos_Indicadores!$G$5:$G$17*(1-Q127)/(1-$B$12)),Normalizacao!$AI$5:$AI$17)/R127,""))</f>
        <v>0.740185538035936</v>
      </c>
      <c r="T127" s="60" t="n">
        <f aca="false">IF(R127=0,"",IFERROR(SUMPRODUCT(Normalizacao!$AL$5:$AL$17,Pesos_Indicadores!$I$5:$I$17,((Pesos_Indicadores!$B$5:$B$17=$A$12)*Q127+(Pesos_Indicadores!$B$5:$B$17&lt;&gt;$A$12)*Pesos_Indicadores!$G$5:$G$17*(1-Q127)/(1-$B$12)),Normalizacao!$AJ$5:$AJ$17)/R127,""))</f>
        <v>0.801029301525708</v>
      </c>
      <c r="U127" s="60" t="n">
        <f aca="false">IF(R127=0,"",IFERROR(SUMPRODUCT(Normalizacao!$AL$5:$AL$17,Pesos_Indicadores!$I$5:$I$17,((Pesos_Indicadores!$B$5:$B$17=$A$12)*Q127+(Pesos_Indicadores!$B$5:$B$17&lt;&gt;$A$12)*Pesos_Indicadores!$G$5:$G$17*(1-Q127)/(1-$B$12)),Normalizacao!$AK$5:$AK$17)/R127,""))</f>
        <v>0.838486504583521</v>
      </c>
      <c r="V127" s="17" t="str">
        <f aca="false">IF(S127="","",IF(INDEX(S127:U127,$B$5)&gt;=MAX(S127:U127),$B$4,INDEX(Pontuacao!$A$29:$A$31,MATCH(MAX(S127:U127),S127:U127,0))))</f>
        <v>Microsoft Azure</v>
      </c>
      <c r="W127" s="43" t="str">
        <f aca="false">IF(OR(V127="",V127=$B$4,ABS(Q127-$B$12)&lt;0.000000001),"",ABS(Q127-$B$12))</f>
        <v/>
      </c>
    </row>
    <row r="128" customFormat="false" ht="15" hidden="false" customHeight="true" outlineLevel="0" collapsed="false">
      <c r="A128" s="60" t="n">
        <f aca="false">(ROW()-17)*$B$6</f>
        <v>0.555</v>
      </c>
      <c r="B128" s="43" t="n">
        <f aca="false">IFERROR(SUMPRODUCT(Normalizacao!$AL$5:$AL$17,Pesos_Indicadores!$I$5:$I$17,((Pesos_Indicadores!$B$5:$B$17=$A$10)*A128+(Pesos_Indicadores!$B$5:$B$17&lt;&gt;$A$10)*Pesos_Indicadores!$G$5:$G$17*(1-A128)/(1-$B$10))),0)</f>
        <v>0.989730769230769</v>
      </c>
      <c r="C128" s="60" t="n">
        <f aca="false">IF(B128=0,"",IFERROR(SUMPRODUCT(Normalizacao!$AL$5:$AL$17,Pesos_Indicadores!$I$5:$I$17,((Pesos_Indicadores!$B$5:$B$17=$A$10)*A128+(Pesos_Indicadores!$B$5:$B$17&lt;&gt;$A$10)*Pesos_Indicadores!$G$5:$G$17*(1-A128)/(1-$B$10)),Normalizacao!$AI$5:$AI$17)/B128,""))</f>
        <v>0.687133175211272</v>
      </c>
      <c r="D128" s="60" t="n">
        <f aca="false">IF(B128=0,"",IFERROR(SUMPRODUCT(Normalizacao!$AL$5:$AL$17,Pesos_Indicadores!$I$5:$I$17,((Pesos_Indicadores!$B$5:$B$17=$A$10)*A128+(Pesos_Indicadores!$B$5:$B$17&lt;&gt;$A$10)*Pesos_Indicadores!$G$5:$G$17*(1-A128)/(1-$B$10)),Normalizacao!$AJ$5:$AJ$17)/B128,""))</f>
        <v>0.830898131987517</v>
      </c>
      <c r="E128" s="60" t="n">
        <f aca="false">IF(B128=0,"",IFERROR(SUMPRODUCT(Normalizacao!$AL$5:$AL$17,Pesos_Indicadores!$I$5:$I$17,((Pesos_Indicadores!$B$5:$B$17=$A$10)*A128+(Pesos_Indicadores!$B$5:$B$17&lt;&gt;$A$10)*Pesos_Indicadores!$G$5:$G$17*(1-A128)/(1-$B$10)),Normalizacao!$AK$5:$AK$17)/B128,""))</f>
        <v>0.859166423190331</v>
      </c>
      <c r="F128" s="17" t="str">
        <f aca="false">IF(C128="","",IF(INDEX(C128:E128,$B$5)&gt;=MAX(C128:E128),$B$4,INDEX(Pontuacao!$A$29:$A$31,MATCH(MAX(C128:E128),C128:E128,0))))</f>
        <v>Microsoft Azure</v>
      </c>
      <c r="G128" s="43" t="str">
        <f aca="false">IF(OR(F128="",F128=$B$4,ABS(A128-$B$10)&lt;0.000000001),"",ABS(A128-$B$10))</f>
        <v/>
      </c>
      <c r="I128" s="60" t="n">
        <f aca="false">(ROW()-17)*$B$6</f>
        <v>0.555</v>
      </c>
      <c r="J128" s="43" t="n">
        <f aca="false">IFERROR(SUMPRODUCT(Normalizacao!$AL$5:$AL$17,Pesos_Indicadores!$I$5:$I$17,((Pesos_Indicadores!$B$5:$B$17=$A$11)*I128+(Pesos_Indicadores!$B$5:$B$17&lt;&gt;$A$11)*Pesos_Indicadores!$G$5:$G$17*(1-I128)/(1-$B$11))),0)</f>
        <v>0.871923076923077</v>
      </c>
      <c r="K128" s="60" t="n">
        <f aca="false">IF(J128=0,"",IFERROR(SUMPRODUCT(Normalizacao!$AL$5:$AL$17,Pesos_Indicadores!$I$5:$I$17,((Pesos_Indicadores!$B$5:$B$17=$A$11)*I128+(Pesos_Indicadores!$B$5:$B$17&lt;&gt;$A$11)*Pesos_Indicadores!$G$5:$G$17*(1-I128)/(1-$B$11)),Normalizacao!$AI$5:$AI$17)/J128,""))</f>
        <v>0.792926877676826</v>
      </c>
      <c r="L128" s="60" t="n">
        <f aca="false">IF(J128=0,"",IFERROR(SUMPRODUCT(Normalizacao!$AL$5:$AL$17,Pesos_Indicadores!$I$5:$I$17,((Pesos_Indicadores!$B$5:$B$17=$A$11)*I128+(Pesos_Indicadores!$B$5:$B$17&lt;&gt;$A$11)*Pesos_Indicadores!$G$5:$G$17*(1-I128)/(1-$B$11)),Normalizacao!$AJ$5:$AJ$17)/J128,""))</f>
        <v>0.806011432941447</v>
      </c>
      <c r="M128" s="60" t="n">
        <f aca="false">IF(J128=0,"",IFERROR(SUMPRODUCT(Normalizacao!$AL$5:$AL$17,Pesos_Indicadores!$I$5:$I$17,((Pesos_Indicadores!$B$5:$B$17=$A$11)*I128+(Pesos_Indicadores!$B$5:$B$17&lt;&gt;$A$11)*Pesos_Indicadores!$G$5:$G$17*(1-I128)/(1-$B$11)),Normalizacao!$AK$5:$AK$17)/J128,""))</f>
        <v>0.834815351434791</v>
      </c>
      <c r="N128" s="17" t="str">
        <f aca="false">IF(K128="","",IF(INDEX(K128:M128,$B$5)&gt;=MAX(K128:M128),$B$4,INDEX(Pontuacao!$A$29:$A$31,MATCH(MAX(K128:M128),K128:M128,0))))</f>
        <v>Microsoft Azure</v>
      </c>
      <c r="O128" s="43" t="str">
        <f aca="false">IF(OR(N128="",N128=$B$4,ABS(I128-$B$11)&lt;0.000000001),"",ABS(I128-$B$11))</f>
        <v/>
      </c>
      <c r="Q128" s="60" t="n">
        <f aca="false">(ROW()-17)*$B$6</f>
        <v>0.555</v>
      </c>
      <c r="R128" s="43" t="n">
        <f aca="false">IFERROR(SUMPRODUCT(Normalizacao!$AL$5:$AL$17,Pesos_Indicadores!$I$5:$I$17,((Pesos_Indicadores!$B$5:$B$17=$A$12)*Q128+(Pesos_Indicadores!$B$5:$B$17&lt;&gt;$A$12)*Pesos_Indicadores!$G$5:$G$17*(1-Q128)/(1-$B$12))),0)</f>
        <v>0.948653846153846</v>
      </c>
      <c r="S128" s="60" t="n">
        <f aca="false">IF(R128=0,"",IFERROR(SUMPRODUCT(Normalizacao!$AL$5:$AL$17,Pesos_Indicadores!$I$5:$I$17,((Pesos_Indicadores!$B$5:$B$17=$A$12)*Q128+(Pesos_Indicadores!$B$5:$B$17&lt;&gt;$A$12)*Pesos_Indicadores!$G$5:$G$17*(1-Q128)/(1-$B$12)),Normalizacao!$AI$5:$AI$17)/R128,""))</f>
        <v>0.740300489952086</v>
      </c>
      <c r="T128" s="60" t="n">
        <f aca="false">IF(R128=0,"",IFERROR(SUMPRODUCT(Normalizacao!$AL$5:$AL$17,Pesos_Indicadores!$I$5:$I$17,((Pesos_Indicadores!$B$5:$B$17=$A$12)*Q128+(Pesos_Indicadores!$B$5:$B$17&lt;&gt;$A$12)*Pesos_Indicadores!$G$5:$G$17*(1-Q128)/(1-$B$12)),Normalizacao!$AJ$5:$AJ$17)/R128,""))</f>
        <v>0.800431620673547</v>
      </c>
      <c r="U128" s="60" t="n">
        <f aca="false">IF(R128=0,"",IFERROR(SUMPRODUCT(Normalizacao!$AL$5:$AL$17,Pesos_Indicadores!$I$5:$I$17,((Pesos_Indicadores!$B$5:$B$17=$A$12)*Q128+(Pesos_Indicadores!$B$5:$B$17&lt;&gt;$A$12)*Pesos_Indicadores!$G$5:$G$17*(1-Q128)/(1-$B$12)),Normalizacao!$AK$5:$AK$17)/R128,""))</f>
        <v>0.838182137568105</v>
      </c>
      <c r="V128" s="17" t="str">
        <f aca="false">IF(S128="","",IF(INDEX(S128:U128,$B$5)&gt;=MAX(S128:U128),$B$4,INDEX(Pontuacao!$A$29:$A$31,MATCH(MAX(S128:U128),S128:U128,0))))</f>
        <v>Microsoft Azure</v>
      </c>
      <c r="W128" s="43" t="str">
        <f aca="false">IF(OR(V128="",V128=$B$4,ABS(Q128-$B$12)&lt;0.000000001),"",ABS(Q128-$B$12))</f>
        <v/>
      </c>
    </row>
    <row r="129" customFormat="false" ht="15" hidden="false" customHeight="true" outlineLevel="0" collapsed="false">
      <c r="A129" s="60" t="n">
        <f aca="false">(ROW()-17)*$B$6</f>
        <v>0.56</v>
      </c>
      <c r="B129" s="43" t="n">
        <f aca="false">IFERROR(SUMPRODUCT(Normalizacao!$AL$5:$AL$17,Pesos_Indicadores!$I$5:$I$17,((Pesos_Indicadores!$B$5:$B$17=$A$10)*A129+(Pesos_Indicadores!$B$5:$B$17&lt;&gt;$A$10)*Pesos_Indicadores!$G$5:$G$17*(1-A129)/(1-$B$10))),0)</f>
        <v>0.989846153846154</v>
      </c>
      <c r="C129" s="60" t="n">
        <f aca="false">IF(B129=0,"",IFERROR(SUMPRODUCT(Normalizacao!$AL$5:$AL$17,Pesos_Indicadores!$I$5:$I$17,((Pesos_Indicadores!$B$5:$B$17=$A$10)*A129+(Pesos_Indicadores!$B$5:$B$17&lt;&gt;$A$10)*Pesos_Indicadores!$G$5:$G$17*(1-A129)/(1-$B$10)),Normalizacao!$AI$5:$AI$17)/B129,""))</f>
        <v>0.686504190765733</v>
      </c>
      <c r="D129" s="60" t="n">
        <f aca="false">IF(B129=0,"",IFERROR(SUMPRODUCT(Normalizacao!$AL$5:$AL$17,Pesos_Indicadores!$I$5:$I$17,((Pesos_Indicadores!$B$5:$B$17=$A$10)*A129+(Pesos_Indicadores!$B$5:$B$17&lt;&gt;$A$10)*Pesos_Indicadores!$G$5:$G$17*(1-A129)/(1-$B$10)),Normalizacao!$AJ$5:$AJ$17)/B129,""))</f>
        <v>0.831547417929208</v>
      </c>
      <c r="E129" s="60" t="n">
        <f aca="false">IF(B129=0,"",IFERROR(SUMPRODUCT(Normalizacao!$AL$5:$AL$17,Pesos_Indicadores!$I$5:$I$17,((Pesos_Indicadores!$B$5:$B$17=$A$10)*A129+(Pesos_Indicadores!$B$5:$B$17&lt;&gt;$A$10)*Pesos_Indicadores!$G$5:$G$17*(1-A129)/(1-$B$10)),Normalizacao!$AK$5:$AK$17)/B129,""))</f>
        <v>0.859555350545934</v>
      </c>
      <c r="F129" s="17" t="str">
        <f aca="false">IF(C129="","",IF(INDEX(C129:E129,$B$5)&gt;=MAX(C129:E129),$B$4,INDEX(Pontuacao!$A$29:$A$31,MATCH(MAX(C129:E129),C129:E129,0))))</f>
        <v>Microsoft Azure</v>
      </c>
      <c r="G129" s="43" t="str">
        <f aca="false">IF(OR(F129="",F129=$B$4,ABS(A129-$B$10)&lt;0.000000001),"",ABS(A129-$B$10))</f>
        <v/>
      </c>
      <c r="I129" s="60" t="n">
        <f aca="false">(ROW()-17)*$B$6</f>
        <v>0.56</v>
      </c>
      <c r="J129" s="43" t="n">
        <f aca="false">IFERROR(SUMPRODUCT(Normalizacao!$AL$5:$AL$17,Pesos_Indicadores!$I$5:$I$17,((Pesos_Indicadores!$B$5:$B$17=$A$11)*I129+(Pesos_Indicadores!$B$5:$B$17&lt;&gt;$A$11)*Pesos_Indicadores!$G$5:$G$17*(1-I129)/(1-$B$11))),0)</f>
        <v>0.870769230769231</v>
      </c>
      <c r="K129" s="60" t="n">
        <f aca="false">IF(J129=0,"",IFERROR(SUMPRODUCT(Normalizacao!$AL$5:$AL$17,Pesos_Indicadores!$I$5:$I$17,((Pesos_Indicadores!$B$5:$B$17=$A$11)*I129+(Pesos_Indicadores!$B$5:$B$17&lt;&gt;$A$11)*Pesos_Indicadores!$G$5:$G$17*(1-I129)/(1-$B$11)),Normalizacao!$AI$5:$AI$17)/J129,""))</f>
        <v>0.793493371526065</v>
      </c>
      <c r="L129" s="60" t="n">
        <f aca="false">IF(J129=0,"",IFERROR(SUMPRODUCT(Normalizacao!$AL$5:$AL$17,Pesos_Indicadores!$I$5:$I$17,((Pesos_Indicadores!$B$5:$B$17=$A$11)*I129+(Pesos_Indicadores!$B$5:$B$17&lt;&gt;$A$11)*Pesos_Indicadores!$G$5:$G$17*(1-I129)/(1-$B$11)),Normalizacao!$AJ$5:$AJ$17)/J129,""))</f>
        <v>0.806448052696267</v>
      </c>
      <c r="M129" s="60" t="n">
        <f aca="false">IF(J129=0,"",IFERROR(SUMPRODUCT(Normalizacao!$AL$5:$AL$17,Pesos_Indicadores!$I$5:$I$17,((Pesos_Indicadores!$B$5:$B$17=$A$11)*I129+(Pesos_Indicadores!$B$5:$B$17&lt;&gt;$A$11)*Pesos_Indicadores!$G$5:$G$17*(1-I129)/(1-$B$11)),Normalizacao!$AK$5:$AK$17)/J129,""))</f>
        <v>0.834962496912236</v>
      </c>
      <c r="N129" s="17" t="str">
        <f aca="false">IF(K129="","",IF(INDEX(K129:M129,$B$5)&gt;=MAX(K129:M129),$B$4,INDEX(Pontuacao!$A$29:$A$31,MATCH(MAX(K129:M129),K129:M129,0))))</f>
        <v>Microsoft Azure</v>
      </c>
      <c r="O129" s="43" t="str">
        <f aca="false">IF(OR(N129="",N129=$B$4,ABS(I129-$B$11)&lt;0.000000001),"",ABS(I129-$B$11))</f>
        <v/>
      </c>
      <c r="Q129" s="60" t="n">
        <f aca="false">(ROW()-17)*$B$6</f>
        <v>0.56</v>
      </c>
      <c r="R129" s="43" t="n">
        <f aca="false">IFERROR(SUMPRODUCT(Normalizacao!$AL$5:$AL$17,Pesos_Indicadores!$I$5:$I$17,((Pesos_Indicadores!$B$5:$B$17=$A$12)*Q129+(Pesos_Indicadores!$B$5:$B$17&lt;&gt;$A$12)*Pesos_Indicadores!$G$5:$G$17*(1-Q129)/(1-$B$12))),0)</f>
        <v>0.949230769230769</v>
      </c>
      <c r="S129" s="60" t="n">
        <f aca="false">IF(R129=0,"",IFERROR(SUMPRODUCT(Normalizacao!$AL$5:$AL$17,Pesos_Indicadores!$I$5:$I$17,((Pesos_Indicadores!$B$5:$B$17=$A$12)*Q129+(Pesos_Indicadores!$B$5:$B$17&lt;&gt;$A$12)*Pesos_Indicadores!$G$5:$G$17*(1-Q129)/(1-$B$12)),Normalizacao!$AI$5:$AI$17)/R129,""))</f>
        <v>0.740415302137381</v>
      </c>
      <c r="T129" s="60" t="n">
        <f aca="false">IF(R129=0,"",IFERROR(SUMPRODUCT(Normalizacao!$AL$5:$AL$17,Pesos_Indicadores!$I$5:$I$17,((Pesos_Indicadores!$B$5:$B$17=$A$12)*Q129+(Pesos_Indicadores!$B$5:$B$17&lt;&gt;$A$12)*Pesos_Indicadores!$G$5:$G$17*(1-Q129)/(1-$B$12)),Normalizacao!$AJ$5:$AJ$17)/R129,""))</f>
        <v>0.79983466633782</v>
      </c>
      <c r="U129" s="60" t="n">
        <f aca="false">IF(R129=0,"",IFERROR(SUMPRODUCT(Normalizacao!$AL$5:$AL$17,Pesos_Indicadores!$I$5:$I$17,((Pesos_Indicadores!$B$5:$B$17=$A$12)*Q129+(Pesos_Indicadores!$B$5:$B$17&lt;&gt;$A$12)*Pesos_Indicadores!$G$5:$G$17*(1-Q129)/(1-$B$12)),Normalizacao!$AK$5:$AK$17)/R129,""))</f>
        <v>0.837878140528802</v>
      </c>
      <c r="V129" s="17" t="str">
        <f aca="false">IF(S129="","",IF(INDEX(S129:U129,$B$5)&gt;=MAX(S129:U129),$B$4,INDEX(Pontuacao!$A$29:$A$31,MATCH(MAX(S129:U129),S129:U129,0))))</f>
        <v>Microsoft Azure</v>
      </c>
      <c r="W129" s="43" t="str">
        <f aca="false">IF(OR(V129="",V129=$B$4,ABS(Q129-$B$12)&lt;0.000000001),"",ABS(Q129-$B$12))</f>
        <v/>
      </c>
    </row>
    <row r="130" customFormat="false" ht="15" hidden="false" customHeight="true" outlineLevel="0" collapsed="false">
      <c r="A130" s="60" t="n">
        <f aca="false">(ROW()-17)*$B$6</f>
        <v>0.565</v>
      </c>
      <c r="B130" s="43" t="n">
        <f aca="false">IFERROR(SUMPRODUCT(Normalizacao!$AL$5:$AL$17,Pesos_Indicadores!$I$5:$I$17,((Pesos_Indicadores!$B$5:$B$17=$A$10)*A130+(Pesos_Indicadores!$B$5:$B$17&lt;&gt;$A$10)*Pesos_Indicadores!$G$5:$G$17*(1-A130)/(1-$B$10))),0)</f>
        <v>0.989961538461539</v>
      </c>
      <c r="C130" s="60" t="n">
        <f aca="false">IF(B130=0,"",IFERROR(SUMPRODUCT(Normalizacao!$AL$5:$AL$17,Pesos_Indicadores!$I$5:$I$17,((Pesos_Indicadores!$B$5:$B$17=$A$10)*A130+(Pesos_Indicadores!$B$5:$B$17&lt;&gt;$A$10)*Pesos_Indicadores!$G$5:$G$17*(1-A130)/(1-$B$10)),Normalizacao!$AI$5:$AI$17)/B130,""))</f>
        <v>0.685875352942311</v>
      </c>
      <c r="D130" s="60" t="n">
        <f aca="false">IF(B130=0,"",IFERROR(SUMPRODUCT(Normalizacao!$AL$5:$AL$17,Pesos_Indicadores!$I$5:$I$17,((Pesos_Indicadores!$B$5:$B$17=$A$10)*A130+(Pesos_Indicadores!$B$5:$B$17&lt;&gt;$A$10)*Pesos_Indicadores!$G$5:$G$17*(1-A130)/(1-$B$10)),Normalizacao!$AJ$5:$AJ$17)/B130,""))</f>
        <v>0.832196552516313</v>
      </c>
      <c r="E130" s="60" t="n">
        <f aca="false">IF(B130=0,"",IFERROR(SUMPRODUCT(Normalizacao!$AL$5:$AL$17,Pesos_Indicadores!$I$5:$I$17,((Pesos_Indicadores!$B$5:$B$17=$A$10)*A130+(Pesos_Indicadores!$B$5:$B$17&lt;&gt;$A$10)*Pesos_Indicadores!$G$5:$G$17*(1-A130)/(1-$B$10)),Normalizacao!$AK$5:$AK$17)/B130,""))</f>
        <v>0.859944187238958</v>
      </c>
      <c r="F130" s="17" t="str">
        <f aca="false">IF(C130="","",IF(INDEX(C130:E130,$B$5)&gt;=MAX(C130:E130),$B$4,INDEX(Pontuacao!$A$29:$A$31,MATCH(MAX(C130:E130),C130:E130,0))))</f>
        <v>Microsoft Azure</v>
      </c>
      <c r="G130" s="43" t="str">
        <f aca="false">IF(OR(F130="",F130=$B$4,ABS(A130-$B$10)&lt;0.000000001),"",ABS(A130-$B$10))</f>
        <v/>
      </c>
      <c r="I130" s="60" t="n">
        <f aca="false">(ROW()-17)*$B$6</f>
        <v>0.565</v>
      </c>
      <c r="J130" s="43" t="n">
        <f aca="false">IFERROR(SUMPRODUCT(Normalizacao!$AL$5:$AL$17,Pesos_Indicadores!$I$5:$I$17,((Pesos_Indicadores!$B$5:$B$17=$A$11)*I130+(Pesos_Indicadores!$B$5:$B$17&lt;&gt;$A$11)*Pesos_Indicadores!$G$5:$G$17*(1-I130)/(1-$B$11))),0)</f>
        <v>0.869615384615385</v>
      </c>
      <c r="K130" s="60" t="n">
        <f aca="false">IF(J130=0,"",IFERROR(SUMPRODUCT(Normalizacao!$AL$5:$AL$17,Pesos_Indicadores!$I$5:$I$17,((Pesos_Indicadores!$B$5:$B$17=$A$11)*I130+(Pesos_Indicadores!$B$5:$B$17&lt;&gt;$A$11)*Pesos_Indicadores!$G$5:$G$17*(1-I130)/(1-$B$11)),Normalizacao!$AI$5:$AI$17)/J130,""))</f>
        <v>0.794061368676099</v>
      </c>
      <c r="L130" s="60" t="n">
        <f aca="false">IF(J130=0,"",IFERROR(SUMPRODUCT(Normalizacao!$AL$5:$AL$17,Pesos_Indicadores!$I$5:$I$17,((Pesos_Indicadores!$B$5:$B$17=$A$11)*I130+(Pesos_Indicadores!$B$5:$B$17&lt;&gt;$A$11)*Pesos_Indicadores!$G$5:$G$17*(1-I130)/(1-$B$11)),Normalizacao!$AJ$5:$AJ$17)/J130,""))</f>
        <v>0.806885831105898</v>
      </c>
      <c r="M130" s="60" t="n">
        <f aca="false">IF(J130=0,"",IFERROR(SUMPRODUCT(Normalizacao!$AL$5:$AL$17,Pesos_Indicadores!$I$5:$I$17,((Pesos_Indicadores!$B$5:$B$17=$A$11)*I130+(Pesos_Indicadores!$B$5:$B$17&lt;&gt;$A$11)*Pesos_Indicadores!$G$5:$G$17*(1-I130)/(1-$B$11)),Normalizacao!$AK$5:$AK$17)/J130,""))</f>
        <v>0.835110032868612</v>
      </c>
      <c r="N130" s="17" t="str">
        <f aca="false">IF(K130="","",IF(INDEX(K130:M130,$B$5)&gt;=MAX(K130:M130),$B$4,INDEX(Pontuacao!$A$29:$A$31,MATCH(MAX(K130:M130),K130:M130,0))))</f>
        <v>Microsoft Azure</v>
      </c>
      <c r="O130" s="43" t="str">
        <f aca="false">IF(OR(N130="",N130=$B$4,ABS(I130-$B$11)&lt;0.000000001),"",ABS(I130-$B$11))</f>
        <v/>
      </c>
      <c r="Q130" s="60" t="n">
        <f aca="false">(ROW()-17)*$B$6</f>
        <v>0.565</v>
      </c>
      <c r="R130" s="43" t="n">
        <f aca="false">IFERROR(SUMPRODUCT(Normalizacao!$AL$5:$AL$17,Pesos_Indicadores!$I$5:$I$17,((Pesos_Indicadores!$B$5:$B$17=$A$12)*Q130+(Pesos_Indicadores!$B$5:$B$17&lt;&gt;$A$12)*Pesos_Indicadores!$G$5:$G$17*(1-Q130)/(1-$B$12))),0)</f>
        <v>0.949807692307692</v>
      </c>
      <c r="S130" s="60" t="n">
        <f aca="false">IF(R130=0,"",IFERROR(SUMPRODUCT(Normalizacao!$AL$5:$AL$17,Pesos_Indicadores!$I$5:$I$17,((Pesos_Indicadores!$B$5:$B$17=$A$12)*Q130+(Pesos_Indicadores!$B$5:$B$17&lt;&gt;$A$12)*Pesos_Indicadores!$G$5:$G$17*(1-Q130)/(1-$B$12)),Normalizacao!$AI$5:$AI$17)/R130,""))</f>
        <v>0.740529974846445</v>
      </c>
      <c r="T130" s="60" t="n">
        <f aca="false">IF(R130=0,"",IFERROR(SUMPRODUCT(Normalizacao!$AL$5:$AL$17,Pesos_Indicadores!$I$5:$I$17,((Pesos_Indicadores!$B$5:$B$17=$A$12)*Q130+(Pesos_Indicadores!$B$5:$B$17&lt;&gt;$A$12)*Pesos_Indicadores!$G$5:$G$17*(1-Q130)/(1-$B$12)),Normalizacao!$AJ$5:$AJ$17)/R130,""))</f>
        <v>0.799238437194644</v>
      </c>
      <c r="U130" s="60" t="n">
        <f aca="false">IF(R130=0,"",IFERROR(SUMPRODUCT(Normalizacao!$AL$5:$AL$17,Pesos_Indicadores!$I$5:$I$17,((Pesos_Indicadores!$B$5:$B$17=$A$12)*Q130+(Pesos_Indicadores!$B$5:$B$17&lt;&gt;$A$12)*Pesos_Indicadores!$G$5:$G$17*(1-Q130)/(1-$B$12)),Normalizacao!$AK$5:$AK$17)/R130,""))</f>
        <v>0.837574512791429</v>
      </c>
      <c r="V130" s="17" t="str">
        <f aca="false">IF(S130="","",IF(INDEX(S130:U130,$B$5)&gt;=MAX(S130:U130),$B$4,INDEX(Pontuacao!$A$29:$A$31,MATCH(MAX(S130:U130),S130:U130,0))))</f>
        <v>Microsoft Azure</v>
      </c>
      <c r="W130" s="43" t="str">
        <f aca="false">IF(OR(V130="",V130=$B$4,ABS(Q130-$B$12)&lt;0.000000001),"",ABS(Q130-$B$12))</f>
        <v/>
      </c>
    </row>
    <row r="131" customFormat="false" ht="15" hidden="false" customHeight="true" outlineLevel="0" collapsed="false">
      <c r="A131" s="60" t="n">
        <f aca="false">(ROW()-17)*$B$6</f>
        <v>0.57</v>
      </c>
      <c r="B131" s="43" t="n">
        <f aca="false">IFERROR(SUMPRODUCT(Normalizacao!$AL$5:$AL$17,Pesos_Indicadores!$I$5:$I$17,((Pesos_Indicadores!$B$5:$B$17=$A$10)*A131+(Pesos_Indicadores!$B$5:$B$17&lt;&gt;$A$10)*Pesos_Indicadores!$G$5:$G$17*(1-A131)/(1-$B$10))),0)</f>
        <v>0.990076923076923</v>
      </c>
      <c r="C131" s="60" t="n">
        <f aca="false">IF(B131=0,"",IFERROR(SUMPRODUCT(Normalizacao!$AL$5:$AL$17,Pesos_Indicadores!$I$5:$I$17,((Pesos_Indicadores!$B$5:$B$17=$A$10)*A131+(Pesos_Indicadores!$B$5:$B$17&lt;&gt;$A$10)*Pesos_Indicadores!$G$5:$G$17*(1-A131)/(1-$B$10)),Normalizacao!$AI$5:$AI$17)/B131,""))</f>
        <v>0.685246661689744</v>
      </c>
      <c r="D131" s="60" t="n">
        <f aca="false">IF(B131=0,"",IFERROR(SUMPRODUCT(Normalizacao!$AL$5:$AL$17,Pesos_Indicadores!$I$5:$I$17,((Pesos_Indicadores!$B$5:$B$17=$A$10)*A131+(Pesos_Indicadores!$B$5:$B$17&lt;&gt;$A$10)*Pesos_Indicadores!$G$5:$G$17*(1-A131)/(1-$B$10)),Normalizacao!$AJ$5:$AJ$17)/B131,""))</f>
        <v>0.832845535801752</v>
      </c>
      <c r="E131" s="60" t="n">
        <f aca="false">IF(B131=0,"",IFERROR(SUMPRODUCT(Normalizacao!$AL$5:$AL$17,Pesos_Indicadores!$I$5:$I$17,((Pesos_Indicadores!$B$5:$B$17=$A$10)*A131+(Pesos_Indicadores!$B$5:$B$17&lt;&gt;$A$10)*Pesos_Indicadores!$G$5:$G$17*(1-A131)/(1-$B$10)),Normalizacao!$AK$5:$AK$17)/B131,""))</f>
        <v>0.8603329333011</v>
      </c>
      <c r="F131" s="17" t="str">
        <f aca="false">IF(C131="","",IF(INDEX(C131:E131,$B$5)&gt;=MAX(C131:E131),$B$4,INDEX(Pontuacao!$A$29:$A$31,MATCH(MAX(C131:E131),C131:E131,0))))</f>
        <v>Microsoft Azure</v>
      </c>
      <c r="G131" s="43" t="str">
        <f aca="false">IF(OR(F131="",F131=$B$4,ABS(A131-$B$10)&lt;0.000000001),"",ABS(A131-$B$10))</f>
        <v/>
      </c>
      <c r="I131" s="60" t="n">
        <f aca="false">(ROW()-17)*$B$6</f>
        <v>0.57</v>
      </c>
      <c r="J131" s="43" t="n">
        <f aca="false">IFERROR(SUMPRODUCT(Normalizacao!$AL$5:$AL$17,Pesos_Indicadores!$I$5:$I$17,((Pesos_Indicadores!$B$5:$B$17=$A$11)*I131+(Pesos_Indicadores!$B$5:$B$17&lt;&gt;$A$11)*Pesos_Indicadores!$G$5:$G$17*(1-I131)/(1-$B$11))),0)</f>
        <v>0.868461538461539</v>
      </c>
      <c r="K131" s="60" t="n">
        <f aca="false">IF(J131=0,"",IFERROR(SUMPRODUCT(Normalizacao!$AL$5:$AL$17,Pesos_Indicadores!$I$5:$I$17,((Pesos_Indicadores!$B$5:$B$17=$A$11)*I131+(Pesos_Indicadores!$B$5:$B$17&lt;&gt;$A$11)*Pesos_Indicadores!$G$5:$G$17*(1-I131)/(1-$B$11)),Normalizacao!$AI$5:$AI$17)/J131,""))</f>
        <v>0.794630875118825</v>
      </c>
      <c r="L131" s="60" t="n">
        <f aca="false">IF(J131=0,"",IFERROR(SUMPRODUCT(Normalizacao!$AL$5:$AL$17,Pesos_Indicadores!$I$5:$I$17,((Pesos_Indicadores!$B$5:$B$17=$A$11)*I131+(Pesos_Indicadores!$B$5:$B$17&lt;&gt;$A$11)*Pesos_Indicadores!$G$5:$G$17*(1-I131)/(1-$B$11)),Normalizacao!$AJ$5:$AJ$17)/J131,""))</f>
        <v>0.807324772788539</v>
      </c>
      <c r="M131" s="60" t="n">
        <f aca="false">IF(J131=0,"",IFERROR(SUMPRODUCT(Normalizacao!$AL$5:$AL$17,Pesos_Indicadores!$I$5:$I$17,((Pesos_Indicadores!$B$5:$B$17=$A$11)*I131+(Pesos_Indicadores!$B$5:$B$17&lt;&gt;$A$11)*Pesos_Indicadores!$G$5:$G$17*(1-I131)/(1-$B$11)),Normalizacao!$AK$5:$AK$17)/J131,""))</f>
        <v>0.835257960860302</v>
      </c>
      <c r="N131" s="17" t="str">
        <f aca="false">IF(K131="","",IF(INDEX(K131:M131,$B$5)&gt;=MAX(K131:M131),$B$4,INDEX(Pontuacao!$A$29:$A$31,MATCH(MAX(K131:M131),K131:M131,0))))</f>
        <v>Microsoft Azure</v>
      </c>
      <c r="O131" s="43" t="str">
        <f aca="false">IF(OR(N131="",N131=$B$4,ABS(I131-$B$11)&lt;0.000000001),"",ABS(I131-$B$11))</f>
        <v/>
      </c>
      <c r="Q131" s="60" t="n">
        <f aca="false">(ROW()-17)*$B$6</f>
        <v>0.57</v>
      </c>
      <c r="R131" s="43" t="n">
        <f aca="false">IFERROR(SUMPRODUCT(Normalizacao!$AL$5:$AL$17,Pesos_Indicadores!$I$5:$I$17,((Pesos_Indicadores!$B$5:$B$17=$A$12)*Q131+(Pesos_Indicadores!$B$5:$B$17&lt;&gt;$A$12)*Pesos_Indicadores!$G$5:$G$17*(1-Q131)/(1-$B$12))),0)</f>
        <v>0.950384615384616</v>
      </c>
      <c r="S131" s="60" t="n">
        <f aca="false">IF(R131=0,"",IFERROR(SUMPRODUCT(Normalizacao!$AL$5:$AL$17,Pesos_Indicadores!$I$5:$I$17,((Pesos_Indicadores!$B$5:$B$17=$A$12)*Q131+(Pesos_Indicadores!$B$5:$B$17&lt;&gt;$A$12)*Pesos_Indicadores!$G$5:$G$17*(1-Q131)/(1-$B$12)),Normalizacao!$AI$5:$AI$17)/R131,""))</f>
        <v>0.740644508333279</v>
      </c>
      <c r="T131" s="60" t="n">
        <f aca="false">IF(R131=0,"",IFERROR(SUMPRODUCT(Normalizacao!$AL$5:$AL$17,Pesos_Indicadores!$I$5:$I$17,((Pesos_Indicadores!$B$5:$B$17=$A$12)*Q131+(Pesos_Indicadores!$B$5:$B$17&lt;&gt;$A$12)*Pesos_Indicadores!$G$5:$G$17*(1-Q131)/(1-$B$12)),Normalizacao!$AJ$5:$AJ$17)/R131,""))</f>
        <v>0.798642931923354</v>
      </c>
      <c r="U131" s="60" t="n">
        <f aca="false">IF(R131=0,"",IFERROR(SUMPRODUCT(Normalizacao!$AL$5:$AL$17,Pesos_Indicadores!$I$5:$I$17,((Pesos_Indicadores!$B$5:$B$17=$A$12)*Q131+(Pesos_Indicadores!$B$5:$B$17&lt;&gt;$A$12)*Pesos_Indicadores!$G$5:$G$17*(1-Q131)/(1-$B$12)),Normalizacao!$AK$5:$AK$17)/R131,""))</f>
        <v>0.837271253683442</v>
      </c>
      <c r="V131" s="17" t="str">
        <f aca="false">IF(S131="","",IF(INDEX(S131:U131,$B$5)&gt;=MAX(S131:U131),$B$4,INDEX(Pontuacao!$A$29:$A$31,MATCH(MAX(S131:U131),S131:U131,0))))</f>
        <v>Microsoft Azure</v>
      </c>
      <c r="W131" s="43" t="str">
        <f aca="false">IF(OR(V131="",V131=$B$4,ABS(Q131-$B$12)&lt;0.000000001),"",ABS(Q131-$B$12))</f>
        <v/>
      </c>
    </row>
    <row r="132" customFormat="false" ht="15" hidden="false" customHeight="true" outlineLevel="0" collapsed="false">
      <c r="A132" s="60" t="n">
        <f aca="false">(ROW()-17)*$B$6</f>
        <v>0.575</v>
      </c>
      <c r="B132" s="43" t="n">
        <f aca="false">IFERROR(SUMPRODUCT(Normalizacao!$AL$5:$AL$17,Pesos_Indicadores!$I$5:$I$17,((Pesos_Indicadores!$B$5:$B$17=$A$10)*A132+(Pesos_Indicadores!$B$5:$B$17&lt;&gt;$A$10)*Pesos_Indicadores!$G$5:$G$17*(1-A132)/(1-$B$10))),0)</f>
        <v>0.990192307692308</v>
      </c>
      <c r="C132" s="60" t="n">
        <f aca="false">IF(B132=0,"",IFERROR(SUMPRODUCT(Normalizacao!$AL$5:$AL$17,Pesos_Indicadores!$I$5:$I$17,((Pesos_Indicadores!$B$5:$B$17=$A$10)*A132+(Pesos_Indicadores!$B$5:$B$17&lt;&gt;$A$10)*Pesos_Indicadores!$G$5:$G$17*(1-A132)/(1-$B$10)),Normalizacao!$AI$5:$AI$17)/B132,""))</f>
        <v>0.684618116956793</v>
      </c>
      <c r="D132" s="60" t="n">
        <f aca="false">IF(B132=0,"",IFERROR(SUMPRODUCT(Normalizacao!$AL$5:$AL$17,Pesos_Indicadores!$I$5:$I$17,((Pesos_Indicadores!$B$5:$B$17=$A$10)*A132+(Pesos_Indicadores!$B$5:$B$17&lt;&gt;$A$10)*Pesos_Indicadores!$G$5:$G$17*(1-A132)/(1-$B$10)),Normalizacao!$AJ$5:$AJ$17)/B132,""))</f>
        <v>0.833494367838415</v>
      </c>
      <c r="E132" s="60" t="n">
        <f aca="false">IF(B132=0,"",IFERROR(SUMPRODUCT(Normalizacao!$AL$5:$AL$17,Pesos_Indicadores!$I$5:$I$17,((Pesos_Indicadores!$B$5:$B$17=$A$10)*A132+(Pesos_Indicadores!$B$5:$B$17&lt;&gt;$A$10)*Pesos_Indicadores!$G$5:$G$17*(1-A132)/(1-$B$10)),Normalizacao!$AK$5:$AK$17)/B132,""))</f>
        <v>0.860721588764043</v>
      </c>
      <c r="F132" s="17" t="str">
        <f aca="false">IF(C132="","",IF(INDEX(C132:E132,$B$5)&gt;=MAX(C132:E132),$B$4,INDEX(Pontuacao!$A$29:$A$31,MATCH(MAX(C132:E132),C132:E132,0))))</f>
        <v>Microsoft Azure</v>
      </c>
      <c r="G132" s="43" t="str">
        <f aca="false">IF(OR(F132="",F132=$B$4,ABS(A132-$B$10)&lt;0.000000001),"",ABS(A132-$B$10))</f>
        <v/>
      </c>
      <c r="I132" s="60" t="n">
        <f aca="false">(ROW()-17)*$B$6</f>
        <v>0.575</v>
      </c>
      <c r="J132" s="43" t="n">
        <f aca="false">IFERROR(SUMPRODUCT(Normalizacao!$AL$5:$AL$17,Pesos_Indicadores!$I$5:$I$17,((Pesos_Indicadores!$B$5:$B$17=$A$11)*I132+(Pesos_Indicadores!$B$5:$B$17&lt;&gt;$A$11)*Pesos_Indicadores!$G$5:$G$17*(1-I132)/(1-$B$11))),0)</f>
        <v>0.867307692307692</v>
      </c>
      <c r="K132" s="60" t="n">
        <f aca="false">IF(J132=0,"",IFERROR(SUMPRODUCT(Normalizacao!$AL$5:$AL$17,Pesos_Indicadores!$I$5:$I$17,((Pesos_Indicadores!$B$5:$B$17=$A$11)*I132+(Pesos_Indicadores!$B$5:$B$17&lt;&gt;$A$11)*Pesos_Indicadores!$G$5:$G$17*(1-I132)/(1-$B$11)),Normalizacao!$AI$5:$AI$17)/J132,""))</f>
        <v>0.795201896878028</v>
      </c>
      <c r="L132" s="60" t="n">
        <f aca="false">IF(J132=0,"",IFERROR(SUMPRODUCT(Normalizacao!$AL$5:$AL$17,Pesos_Indicadores!$I$5:$I$17,((Pesos_Indicadores!$B$5:$B$17=$A$11)*I132+(Pesos_Indicadores!$B$5:$B$17&lt;&gt;$A$11)*Pesos_Indicadores!$G$5:$G$17*(1-I132)/(1-$B$11)),Normalizacao!$AJ$5:$AJ$17)/J132,""))</f>
        <v>0.807764882386966</v>
      </c>
      <c r="M132" s="60" t="n">
        <f aca="false">IF(J132=0,"",IFERROR(SUMPRODUCT(Normalizacao!$AL$5:$AL$17,Pesos_Indicadores!$I$5:$I$17,((Pesos_Indicadores!$B$5:$B$17=$A$11)*I132+(Pesos_Indicadores!$B$5:$B$17&lt;&gt;$A$11)*Pesos_Indicadores!$G$5:$G$17*(1-I132)/(1-$B$11)),Normalizacao!$AK$5:$AK$17)/J132,""))</f>
        <v>0.83540628245197</v>
      </c>
      <c r="N132" s="17" t="str">
        <f aca="false">IF(K132="","",IF(INDEX(K132:M132,$B$5)&gt;=MAX(K132:M132),$B$4,INDEX(Pontuacao!$A$29:$A$31,MATCH(MAX(K132:M132),K132:M132,0))))</f>
        <v>Microsoft Azure</v>
      </c>
      <c r="O132" s="43" t="str">
        <f aca="false">IF(OR(N132="",N132=$B$4,ABS(I132-$B$11)&lt;0.000000001),"",ABS(I132-$B$11))</f>
        <v/>
      </c>
      <c r="Q132" s="60" t="n">
        <f aca="false">(ROW()-17)*$B$6</f>
        <v>0.575</v>
      </c>
      <c r="R132" s="43" t="n">
        <f aca="false">IFERROR(SUMPRODUCT(Normalizacao!$AL$5:$AL$17,Pesos_Indicadores!$I$5:$I$17,((Pesos_Indicadores!$B$5:$B$17=$A$12)*Q132+(Pesos_Indicadores!$B$5:$B$17&lt;&gt;$A$12)*Pesos_Indicadores!$G$5:$G$17*(1-Q132)/(1-$B$12))),0)</f>
        <v>0.950961538461539</v>
      </c>
      <c r="S132" s="60" t="n">
        <f aca="false">IF(R132=0,"",IFERROR(SUMPRODUCT(Normalizacao!$AL$5:$AL$17,Pesos_Indicadores!$I$5:$I$17,((Pesos_Indicadores!$B$5:$B$17=$A$12)*Q132+(Pesos_Indicadores!$B$5:$B$17&lt;&gt;$A$12)*Pesos_Indicadores!$G$5:$G$17*(1-Q132)/(1-$B$12)),Normalizacao!$AI$5:$AI$17)/R132,""))</f>
        <v>0.740758902851272</v>
      </c>
      <c r="T132" s="60" t="n">
        <f aca="false">IF(R132=0,"",IFERROR(SUMPRODUCT(Normalizacao!$AL$5:$AL$17,Pesos_Indicadores!$I$5:$I$17,((Pesos_Indicadores!$B$5:$B$17=$A$12)*Q132+(Pesos_Indicadores!$B$5:$B$17&lt;&gt;$A$12)*Pesos_Indicadores!$G$5:$G$17*(1-Q132)/(1-$B$12)),Normalizacao!$AJ$5:$AJ$17)/R132,""))</f>
        <v>0.798048149206489</v>
      </c>
      <c r="U132" s="60" t="n">
        <f aca="false">IF(R132=0,"",IFERROR(SUMPRODUCT(Normalizacao!$AL$5:$AL$17,Pesos_Indicadores!$I$5:$I$17,((Pesos_Indicadores!$B$5:$B$17=$A$12)*Q132+(Pesos_Indicadores!$B$5:$B$17&lt;&gt;$A$12)*Pesos_Indicadores!$G$5:$G$17*(1-Q132)/(1-$B$12)),Normalizacao!$AK$5:$AK$17)/R132,""))</f>
        <v>0.836968362533928</v>
      </c>
      <c r="V132" s="17" t="str">
        <f aca="false">IF(S132="","",IF(INDEX(S132:U132,$B$5)&gt;=MAX(S132:U132),$B$4,INDEX(Pontuacao!$A$29:$A$31,MATCH(MAX(S132:U132),S132:U132,0))))</f>
        <v>Microsoft Azure</v>
      </c>
      <c r="W132" s="43" t="str">
        <f aca="false">IF(OR(V132="",V132=$B$4,ABS(Q132-$B$12)&lt;0.000000001),"",ABS(Q132-$B$12))</f>
        <v/>
      </c>
    </row>
    <row r="133" customFormat="false" ht="15" hidden="false" customHeight="true" outlineLevel="0" collapsed="false">
      <c r="A133" s="60" t="n">
        <f aca="false">(ROW()-17)*$B$6</f>
        <v>0.58</v>
      </c>
      <c r="B133" s="43" t="n">
        <f aca="false">IFERROR(SUMPRODUCT(Normalizacao!$AL$5:$AL$17,Pesos_Indicadores!$I$5:$I$17,((Pesos_Indicadores!$B$5:$B$17=$A$10)*A133+(Pesos_Indicadores!$B$5:$B$17&lt;&gt;$A$10)*Pesos_Indicadores!$G$5:$G$17*(1-A133)/(1-$B$10))),0)</f>
        <v>0.990307692307692</v>
      </c>
      <c r="C133" s="60" t="n">
        <f aca="false">IF(B133=0,"",IFERROR(SUMPRODUCT(Normalizacao!$AL$5:$AL$17,Pesos_Indicadores!$I$5:$I$17,((Pesos_Indicadores!$B$5:$B$17=$A$10)*A133+(Pesos_Indicadores!$B$5:$B$17&lt;&gt;$A$10)*Pesos_Indicadores!$G$5:$G$17*(1-A133)/(1-$B$10)),Normalizacao!$AI$5:$AI$17)/B133,""))</f>
        <v>0.683989718692243</v>
      </c>
      <c r="D133" s="60" t="n">
        <f aca="false">IF(B133=0,"",IFERROR(SUMPRODUCT(Normalizacao!$AL$5:$AL$17,Pesos_Indicadores!$I$5:$I$17,((Pesos_Indicadores!$B$5:$B$17=$A$10)*A133+(Pesos_Indicadores!$B$5:$B$17&lt;&gt;$A$10)*Pesos_Indicadores!$G$5:$G$17*(1-A133)/(1-$B$10)),Normalizacao!$AJ$5:$AJ$17)/B133,""))</f>
        <v>0.834143048679171</v>
      </c>
      <c r="E133" s="60" t="n">
        <f aca="false">IF(B133=0,"",IFERROR(SUMPRODUCT(Normalizacao!$AL$5:$AL$17,Pesos_Indicadores!$I$5:$I$17,((Pesos_Indicadores!$B$5:$B$17=$A$10)*A133+(Pesos_Indicadores!$B$5:$B$17&lt;&gt;$A$10)*Pesos_Indicadores!$G$5:$G$17*(1-A133)/(1-$B$10)),Normalizacao!$AK$5:$AK$17)/B133,""))</f>
        <v>0.861110153659455</v>
      </c>
      <c r="F133" s="17" t="str">
        <f aca="false">IF(C133="","",IF(INDEX(C133:E133,$B$5)&gt;=MAX(C133:E133),$B$4,INDEX(Pontuacao!$A$29:$A$31,MATCH(MAX(C133:E133),C133:E133,0))))</f>
        <v>Microsoft Azure</v>
      </c>
      <c r="G133" s="43" t="str">
        <f aca="false">IF(OR(F133="",F133=$B$4,ABS(A133-$B$10)&lt;0.000000001),"",ABS(A133-$B$10))</f>
        <v/>
      </c>
      <c r="I133" s="60" t="n">
        <f aca="false">(ROW()-17)*$B$6</f>
        <v>0.58</v>
      </c>
      <c r="J133" s="43" t="n">
        <f aca="false">IFERROR(SUMPRODUCT(Normalizacao!$AL$5:$AL$17,Pesos_Indicadores!$I$5:$I$17,((Pesos_Indicadores!$B$5:$B$17=$A$11)*I133+(Pesos_Indicadores!$B$5:$B$17&lt;&gt;$A$11)*Pesos_Indicadores!$G$5:$G$17*(1-I133)/(1-$B$11))),0)</f>
        <v>0.866153846153846</v>
      </c>
      <c r="K133" s="60" t="n">
        <f aca="false">IF(J133=0,"",IFERROR(SUMPRODUCT(Normalizacao!$AL$5:$AL$17,Pesos_Indicadores!$I$5:$I$17,((Pesos_Indicadores!$B$5:$B$17=$A$11)*I133+(Pesos_Indicadores!$B$5:$B$17&lt;&gt;$A$11)*Pesos_Indicadores!$G$5:$G$17*(1-I133)/(1-$B$11)),Normalizacao!$AI$5:$AI$17)/J133,""))</f>
        <v>0.795774440009592</v>
      </c>
      <c r="L133" s="60" t="n">
        <f aca="false">IF(J133=0,"",IFERROR(SUMPRODUCT(Normalizacao!$AL$5:$AL$17,Pesos_Indicadores!$I$5:$I$17,((Pesos_Indicadores!$B$5:$B$17=$A$11)*I133+(Pesos_Indicadores!$B$5:$B$17&lt;&gt;$A$11)*Pesos_Indicadores!$G$5:$G$17*(1-I133)/(1-$B$11)),Normalizacao!$AJ$5:$AJ$17)/J133,""))</f>
        <v>0.808206164568693</v>
      </c>
      <c r="M133" s="60" t="n">
        <f aca="false">IF(J133=0,"",IFERROR(SUMPRODUCT(Normalizacao!$AL$5:$AL$17,Pesos_Indicadores!$I$5:$I$17,((Pesos_Indicadores!$B$5:$B$17=$A$11)*I133+(Pesos_Indicadores!$B$5:$B$17&lt;&gt;$A$11)*Pesos_Indicadores!$G$5:$G$17*(1-I133)/(1-$B$11)),Normalizacao!$AK$5:$AK$17)/J133,""))</f>
        <v>0.835554999216618</v>
      </c>
      <c r="N133" s="17" t="str">
        <f aca="false">IF(K133="","",IF(INDEX(K133:M133,$B$5)&gt;=MAX(K133:M133),$B$4,INDEX(Pontuacao!$A$29:$A$31,MATCH(MAX(K133:M133),K133:M133,0))))</f>
        <v>Microsoft Azure</v>
      </c>
      <c r="O133" s="43" t="str">
        <f aca="false">IF(OR(N133="",N133=$B$4,ABS(I133-$B$11)&lt;0.000000001),"",ABS(I133-$B$11))</f>
        <v/>
      </c>
      <c r="Q133" s="60" t="n">
        <f aca="false">(ROW()-17)*$B$6</f>
        <v>0.58</v>
      </c>
      <c r="R133" s="43" t="n">
        <f aca="false">IFERROR(SUMPRODUCT(Normalizacao!$AL$5:$AL$17,Pesos_Indicadores!$I$5:$I$17,((Pesos_Indicadores!$B$5:$B$17=$A$12)*Q133+(Pesos_Indicadores!$B$5:$B$17&lt;&gt;$A$12)*Pesos_Indicadores!$G$5:$G$17*(1-Q133)/(1-$B$12))),0)</f>
        <v>0.951538461538462</v>
      </c>
      <c r="S133" s="60" t="n">
        <f aca="false">IF(R133=0,"",IFERROR(SUMPRODUCT(Normalizacao!$AL$5:$AL$17,Pesos_Indicadores!$I$5:$I$17,((Pesos_Indicadores!$B$5:$B$17=$A$12)*Q133+(Pesos_Indicadores!$B$5:$B$17&lt;&gt;$A$12)*Pesos_Indicadores!$G$5:$G$17*(1-Q133)/(1-$B$12)),Normalizacao!$AI$5:$AI$17)/R133,""))</f>
        <v>0.740873158653197</v>
      </c>
      <c r="T133" s="60" t="n">
        <f aca="false">IF(R133=0,"",IFERROR(SUMPRODUCT(Normalizacao!$AL$5:$AL$17,Pesos_Indicadores!$I$5:$I$17,((Pesos_Indicadores!$B$5:$B$17=$A$12)*Q133+(Pesos_Indicadores!$B$5:$B$17&lt;&gt;$A$12)*Pesos_Indicadores!$G$5:$G$17*(1-Q133)/(1-$B$12)),Normalizacao!$AJ$5:$AJ$17)/R133,""))</f>
        <v>0.797454087729781</v>
      </c>
      <c r="U133" s="60" t="n">
        <f aca="false">IF(R133=0,"",IFERROR(SUMPRODUCT(Normalizacao!$AL$5:$AL$17,Pesos_Indicadores!$I$5:$I$17,((Pesos_Indicadores!$B$5:$B$17=$A$12)*Q133+(Pesos_Indicadores!$B$5:$B$17&lt;&gt;$A$12)*Pesos_Indicadores!$G$5:$G$17*(1-Q133)/(1-$B$12)),Normalizacao!$AK$5:$AK$17)/R133,""))</f>
        <v>0.836665838673601</v>
      </c>
      <c r="V133" s="17" t="str">
        <f aca="false">IF(S133="","",IF(INDEX(S133:U133,$B$5)&gt;=MAX(S133:U133),$B$4,INDEX(Pontuacao!$A$29:$A$31,MATCH(MAX(S133:U133),S133:U133,0))))</f>
        <v>Microsoft Azure</v>
      </c>
      <c r="W133" s="43" t="str">
        <f aca="false">IF(OR(V133="",V133=$B$4,ABS(Q133-$B$12)&lt;0.000000001),"",ABS(Q133-$B$12))</f>
        <v/>
      </c>
    </row>
    <row r="134" customFormat="false" ht="15" hidden="false" customHeight="true" outlineLevel="0" collapsed="false">
      <c r="A134" s="60" t="n">
        <f aca="false">(ROW()-17)*$B$6</f>
        <v>0.585</v>
      </c>
      <c r="B134" s="43" t="n">
        <f aca="false">IFERROR(SUMPRODUCT(Normalizacao!$AL$5:$AL$17,Pesos_Indicadores!$I$5:$I$17,((Pesos_Indicadores!$B$5:$B$17=$A$10)*A134+(Pesos_Indicadores!$B$5:$B$17&lt;&gt;$A$10)*Pesos_Indicadores!$G$5:$G$17*(1-A134)/(1-$B$10))),0)</f>
        <v>0.990423076923077</v>
      </c>
      <c r="C134" s="60" t="n">
        <f aca="false">IF(B134=0,"",IFERROR(SUMPRODUCT(Normalizacao!$AL$5:$AL$17,Pesos_Indicadores!$I$5:$I$17,((Pesos_Indicadores!$B$5:$B$17=$A$10)*A134+(Pesos_Indicadores!$B$5:$B$17&lt;&gt;$A$10)*Pesos_Indicadores!$G$5:$G$17*(1-A134)/(1-$B$10)),Normalizacao!$AI$5:$AI$17)/B134,""))</f>
        <v>0.683361466844904</v>
      </c>
      <c r="D134" s="60" t="n">
        <f aca="false">IF(B134=0,"",IFERROR(SUMPRODUCT(Normalizacao!$AL$5:$AL$17,Pesos_Indicadores!$I$5:$I$17,((Pesos_Indicadores!$B$5:$B$17=$A$10)*A134+(Pesos_Indicadores!$B$5:$B$17&lt;&gt;$A$10)*Pesos_Indicadores!$G$5:$G$17*(1-A134)/(1-$B$10)),Normalizacao!$AJ$5:$AJ$17)/B134,""))</f>
        <v>0.834791578376863</v>
      </c>
      <c r="E134" s="60" t="n">
        <f aca="false">IF(B134=0,"",IFERROR(SUMPRODUCT(Normalizacao!$AL$5:$AL$17,Pesos_Indicadores!$I$5:$I$17,((Pesos_Indicadores!$B$5:$B$17=$A$10)*A134+(Pesos_Indicadores!$B$5:$B$17&lt;&gt;$A$10)*Pesos_Indicadores!$G$5:$G$17*(1-A134)/(1-$B$10)),Normalizacao!$AK$5:$AK$17)/B134,""))</f>
        <v>0.86149862801899</v>
      </c>
      <c r="F134" s="17" t="str">
        <f aca="false">IF(C134="","",IF(INDEX(C134:E134,$B$5)&gt;=MAX(C134:E134),$B$4,INDEX(Pontuacao!$A$29:$A$31,MATCH(MAX(C134:E134),C134:E134,0))))</f>
        <v>Microsoft Azure</v>
      </c>
      <c r="G134" s="43" t="str">
        <f aca="false">IF(OR(F134="",F134=$B$4,ABS(A134-$B$10)&lt;0.000000001),"",ABS(A134-$B$10))</f>
        <v/>
      </c>
      <c r="I134" s="60" t="n">
        <f aca="false">(ROW()-17)*$B$6</f>
        <v>0.585</v>
      </c>
      <c r="J134" s="43" t="n">
        <f aca="false">IFERROR(SUMPRODUCT(Normalizacao!$AL$5:$AL$17,Pesos_Indicadores!$I$5:$I$17,((Pesos_Indicadores!$B$5:$B$17=$A$11)*I134+(Pesos_Indicadores!$B$5:$B$17&lt;&gt;$A$11)*Pesos_Indicadores!$G$5:$G$17*(1-I134)/(1-$B$11))),0)</f>
        <v>0.865</v>
      </c>
      <c r="K134" s="60" t="n">
        <f aca="false">IF(J134=0,"",IFERROR(SUMPRODUCT(Normalizacao!$AL$5:$AL$17,Pesos_Indicadores!$I$5:$I$17,((Pesos_Indicadores!$B$5:$B$17=$A$11)*I134+(Pesos_Indicadores!$B$5:$B$17&lt;&gt;$A$11)*Pesos_Indicadores!$G$5:$G$17*(1-I134)/(1-$B$11)),Normalizacao!$AI$5:$AI$17)/J134,""))</f>
        <v>0.796348510601712</v>
      </c>
      <c r="L134" s="60" t="n">
        <f aca="false">IF(J134=0,"",IFERROR(SUMPRODUCT(Normalizacao!$AL$5:$AL$17,Pesos_Indicadores!$I$5:$I$17,((Pesos_Indicadores!$B$5:$B$17=$A$11)*I134+(Pesos_Indicadores!$B$5:$B$17&lt;&gt;$A$11)*Pesos_Indicadores!$G$5:$G$17*(1-I134)/(1-$B$11)),Normalizacao!$AJ$5:$AJ$17)/J134,""))</f>
        <v>0.808648624026137</v>
      </c>
      <c r="M134" s="60" t="n">
        <f aca="false">IF(J134=0,"",IFERROR(SUMPRODUCT(Normalizacao!$AL$5:$AL$17,Pesos_Indicadores!$I$5:$I$17,((Pesos_Indicadores!$B$5:$B$17=$A$11)*I134+(Pesos_Indicadores!$B$5:$B$17&lt;&gt;$A$11)*Pesos_Indicadores!$G$5:$G$17*(1-I134)/(1-$B$11)),Normalizacao!$AK$5:$AK$17)/J134,""))</f>
        <v>0.83570411273564</v>
      </c>
      <c r="N134" s="17" t="str">
        <f aca="false">IF(K134="","",IF(INDEX(K134:M134,$B$5)&gt;=MAX(K134:M134),$B$4,INDEX(Pontuacao!$A$29:$A$31,MATCH(MAX(K134:M134),K134:M134,0))))</f>
        <v>Microsoft Azure</v>
      </c>
      <c r="O134" s="43" t="str">
        <f aca="false">IF(OR(N134="",N134=$B$4,ABS(I134-$B$11)&lt;0.000000001),"",ABS(I134-$B$11))</f>
        <v/>
      </c>
      <c r="Q134" s="60" t="n">
        <f aca="false">(ROW()-17)*$B$6</f>
        <v>0.585</v>
      </c>
      <c r="R134" s="43" t="n">
        <f aca="false">IFERROR(SUMPRODUCT(Normalizacao!$AL$5:$AL$17,Pesos_Indicadores!$I$5:$I$17,((Pesos_Indicadores!$B$5:$B$17=$A$12)*Q134+(Pesos_Indicadores!$B$5:$B$17&lt;&gt;$A$12)*Pesos_Indicadores!$G$5:$G$17*(1-Q134)/(1-$B$12))),0)</f>
        <v>0.952115384615385</v>
      </c>
      <c r="S134" s="60" t="n">
        <f aca="false">IF(R134=0,"",IFERROR(SUMPRODUCT(Normalizacao!$AL$5:$AL$17,Pesos_Indicadores!$I$5:$I$17,((Pesos_Indicadores!$B$5:$B$17=$A$12)*Q134+(Pesos_Indicadores!$B$5:$B$17&lt;&gt;$A$12)*Pesos_Indicadores!$G$5:$G$17*(1-Q134)/(1-$B$12)),Normalizacao!$AI$5:$AI$17)/R134,""))</f>
        <v>0.740987275991213</v>
      </c>
      <c r="T134" s="60" t="n">
        <f aca="false">IF(R134=0,"",IFERROR(SUMPRODUCT(Normalizacao!$AL$5:$AL$17,Pesos_Indicadores!$I$5:$I$17,((Pesos_Indicadores!$B$5:$B$17=$A$12)*Q134+(Pesos_Indicadores!$B$5:$B$17&lt;&gt;$A$12)*Pesos_Indicadores!$G$5:$G$17*(1-Q134)/(1-$B$12)),Normalizacao!$AJ$5:$AJ$17)/R134,""))</f>
        <v>0.79686074618215</v>
      </c>
      <c r="U134" s="60" t="n">
        <f aca="false">IF(R134=0,"",IFERROR(SUMPRODUCT(Normalizacao!$AL$5:$AL$17,Pesos_Indicadores!$I$5:$I$17,((Pesos_Indicadores!$B$5:$B$17=$A$12)*Q134+(Pesos_Indicadores!$B$5:$B$17&lt;&gt;$A$12)*Pesos_Indicadores!$G$5:$G$17*(1-Q134)/(1-$B$12)),Normalizacao!$AK$5:$AK$17)/R134,""))</f>
        <v>0.836363681434797</v>
      </c>
      <c r="V134" s="17" t="str">
        <f aca="false">IF(S134="","",IF(INDEX(S134:U134,$B$5)&gt;=MAX(S134:U134),$B$4,INDEX(Pontuacao!$A$29:$A$31,MATCH(MAX(S134:U134),S134:U134,0))))</f>
        <v>Microsoft Azure</v>
      </c>
      <c r="W134" s="43" t="str">
        <f aca="false">IF(OR(V134="",V134=$B$4,ABS(Q134-$B$12)&lt;0.000000001),"",ABS(Q134-$B$12))</f>
        <v/>
      </c>
    </row>
    <row r="135" customFormat="false" ht="15" hidden="false" customHeight="true" outlineLevel="0" collapsed="false">
      <c r="A135" s="60" t="n">
        <f aca="false">(ROW()-17)*$B$6</f>
        <v>0.59</v>
      </c>
      <c r="B135" s="43" t="n">
        <f aca="false">IFERROR(SUMPRODUCT(Normalizacao!$AL$5:$AL$17,Pesos_Indicadores!$I$5:$I$17,((Pesos_Indicadores!$B$5:$B$17=$A$10)*A135+(Pesos_Indicadores!$B$5:$B$17&lt;&gt;$A$10)*Pesos_Indicadores!$G$5:$G$17*(1-A135)/(1-$B$10))),0)</f>
        <v>0.990538461538462</v>
      </c>
      <c r="C135" s="60" t="n">
        <f aca="false">IF(B135=0,"",IFERROR(SUMPRODUCT(Normalizacao!$AL$5:$AL$17,Pesos_Indicadores!$I$5:$I$17,((Pesos_Indicadores!$B$5:$B$17=$A$10)*A135+(Pesos_Indicadores!$B$5:$B$17&lt;&gt;$A$10)*Pesos_Indicadores!$G$5:$G$17*(1-A135)/(1-$B$10)),Normalizacao!$AI$5:$AI$17)/B135,""))</f>
        <v>0.682733361363608</v>
      </c>
      <c r="D135" s="60" t="n">
        <f aca="false">IF(B135=0,"",IFERROR(SUMPRODUCT(Normalizacao!$AL$5:$AL$17,Pesos_Indicadores!$I$5:$I$17,((Pesos_Indicadores!$B$5:$B$17=$A$10)*A135+(Pesos_Indicadores!$B$5:$B$17&lt;&gt;$A$10)*Pesos_Indicadores!$G$5:$G$17*(1-A135)/(1-$B$10)),Normalizacao!$AJ$5:$AJ$17)/B135,""))</f>
        <v>0.83543995698431</v>
      </c>
      <c r="E135" s="60" t="n">
        <f aca="false">IF(B135=0,"",IFERROR(SUMPRODUCT(Normalizacao!$AL$5:$AL$17,Pesos_Indicadores!$I$5:$I$17,((Pesos_Indicadores!$B$5:$B$17=$A$10)*A135+(Pesos_Indicadores!$B$5:$B$17&lt;&gt;$A$10)*Pesos_Indicadores!$G$5:$G$17*(1-A135)/(1-$B$10)),Normalizacao!$AK$5:$AK$17)/B135,""))</f>
        <v>0.861887011874287</v>
      </c>
      <c r="F135" s="17" t="str">
        <f aca="false">IF(C135="","",IF(INDEX(C135:E135,$B$5)&gt;=MAX(C135:E135),$B$4,INDEX(Pontuacao!$A$29:$A$31,MATCH(MAX(C135:E135),C135:E135,0))))</f>
        <v>Microsoft Azure</v>
      </c>
      <c r="G135" s="43" t="str">
        <f aca="false">IF(OR(F135="",F135=$B$4,ABS(A135-$B$10)&lt;0.000000001),"",ABS(A135-$B$10))</f>
        <v/>
      </c>
      <c r="I135" s="60" t="n">
        <f aca="false">(ROW()-17)*$B$6</f>
        <v>0.59</v>
      </c>
      <c r="J135" s="43" t="n">
        <f aca="false">IFERROR(SUMPRODUCT(Normalizacao!$AL$5:$AL$17,Pesos_Indicadores!$I$5:$I$17,((Pesos_Indicadores!$B$5:$B$17=$A$11)*I135+(Pesos_Indicadores!$B$5:$B$17&lt;&gt;$A$11)*Pesos_Indicadores!$G$5:$G$17*(1-I135)/(1-$B$11))),0)</f>
        <v>0.863846153846154</v>
      </c>
      <c r="K135" s="60" t="n">
        <f aca="false">IF(J135=0,"",IFERROR(SUMPRODUCT(Normalizacao!$AL$5:$AL$17,Pesos_Indicadores!$I$5:$I$17,((Pesos_Indicadores!$B$5:$B$17=$A$11)*I135+(Pesos_Indicadores!$B$5:$B$17&lt;&gt;$A$11)*Pesos_Indicadores!$G$5:$G$17*(1-I135)/(1-$B$11)),Normalizacao!$AI$5:$AI$17)/J135,""))</f>
        <v>0.79692411477511</v>
      </c>
      <c r="L135" s="60" t="n">
        <f aca="false">IF(J135=0,"",IFERROR(SUMPRODUCT(Normalizacao!$AL$5:$AL$17,Pesos_Indicadores!$I$5:$I$17,((Pesos_Indicadores!$B$5:$B$17=$A$11)*I135+(Pesos_Indicadores!$B$5:$B$17&lt;&gt;$A$11)*Pesos_Indicadores!$G$5:$G$17*(1-I135)/(1-$B$11)),Normalizacao!$AJ$5:$AJ$17)/J135,""))</f>
        <v>0.80909226547679</v>
      </c>
      <c r="M135" s="60" t="n">
        <f aca="false">IF(J135=0,"",IFERROR(SUMPRODUCT(Normalizacao!$AL$5:$AL$17,Pesos_Indicadores!$I$5:$I$17,((Pesos_Indicadores!$B$5:$B$17=$A$11)*I135+(Pesos_Indicadores!$B$5:$B$17&lt;&gt;$A$11)*Pesos_Indicadores!$G$5:$G$17*(1-I135)/(1-$B$11)),Normalizacao!$AK$5:$AK$17)/J135,""))</f>
        <v>0.83585362459888</v>
      </c>
      <c r="N135" s="17" t="str">
        <f aca="false">IF(K135="","",IF(INDEX(K135:M135,$B$5)&gt;=MAX(K135:M135),$B$4,INDEX(Pontuacao!$A$29:$A$31,MATCH(MAX(K135:M135),K135:M135,0))))</f>
        <v>Microsoft Azure</v>
      </c>
      <c r="O135" s="43" t="str">
        <f aca="false">IF(OR(N135="",N135=$B$4,ABS(I135-$B$11)&lt;0.000000001),"",ABS(I135-$B$11))</f>
        <v/>
      </c>
      <c r="Q135" s="60" t="n">
        <f aca="false">(ROW()-17)*$B$6</f>
        <v>0.59</v>
      </c>
      <c r="R135" s="43" t="n">
        <f aca="false">IFERROR(SUMPRODUCT(Normalizacao!$AL$5:$AL$17,Pesos_Indicadores!$I$5:$I$17,((Pesos_Indicadores!$B$5:$B$17=$A$12)*Q135+(Pesos_Indicadores!$B$5:$B$17&lt;&gt;$A$12)*Pesos_Indicadores!$G$5:$G$17*(1-Q135)/(1-$B$12))),0)</f>
        <v>0.952692307692308</v>
      </c>
      <c r="S135" s="60" t="n">
        <f aca="false">IF(R135=0,"",IFERROR(SUMPRODUCT(Normalizacao!$AL$5:$AL$17,Pesos_Indicadores!$I$5:$I$17,((Pesos_Indicadores!$B$5:$B$17=$A$12)*Q135+(Pesos_Indicadores!$B$5:$B$17&lt;&gt;$A$12)*Pesos_Indicadores!$G$5:$G$17*(1-Q135)/(1-$B$12)),Normalizacao!$AI$5:$AI$17)/R135,""))</f>
        <v>0.741101255116869</v>
      </c>
      <c r="T135" s="60" t="n">
        <f aca="false">IF(R135=0,"",IFERROR(SUMPRODUCT(Normalizacao!$AL$5:$AL$17,Pesos_Indicadores!$I$5:$I$17,((Pesos_Indicadores!$B$5:$B$17=$A$12)*Q135+(Pesos_Indicadores!$B$5:$B$17&lt;&gt;$A$12)*Pesos_Indicadores!$G$5:$G$17*(1-Q135)/(1-$B$12)),Normalizacao!$AJ$5:$AJ$17)/R135,""))</f>
        <v>0.796268123255692</v>
      </c>
      <c r="U135" s="60" t="n">
        <f aca="false">IF(R135=0,"",IFERROR(SUMPRODUCT(Normalizacao!$AL$5:$AL$17,Pesos_Indicadores!$I$5:$I$17,((Pesos_Indicadores!$B$5:$B$17=$A$12)*Q135+(Pesos_Indicadores!$B$5:$B$17&lt;&gt;$A$12)*Pesos_Indicadores!$G$5:$G$17*(1-Q135)/(1-$B$12)),Normalizacao!$AK$5:$AK$17)/R135,""))</f>
        <v>0.83606189015147</v>
      </c>
      <c r="V135" s="17" t="str">
        <f aca="false">IF(S135="","",IF(INDEX(S135:U135,$B$5)&gt;=MAX(S135:U135),$B$4,INDEX(Pontuacao!$A$29:$A$31,MATCH(MAX(S135:U135),S135:U135,0))))</f>
        <v>Microsoft Azure</v>
      </c>
      <c r="W135" s="43" t="str">
        <f aca="false">IF(OR(V135="",V135=$B$4,ABS(Q135-$B$12)&lt;0.000000001),"",ABS(Q135-$B$12))</f>
        <v/>
      </c>
    </row>
    <row r="136" customFormat="false" ht="15" hidden="false" customHeight="true" outlineLevel="0" collapsed="false">
      <c r="A136" s="60" t="n">
        <f aca="false">(ROW()-17)*$B$6</f>
        <v>0.595</v>
      </c>
      <c r="B136" s="43" t="n">
        <f aca="false">IFERROR(SUMPRODUCT(Normalizacao!$AL$5:$AL$17,Pesos_Indicadores!$I$5:$I$17,((Pesos_Indicadores!$B$5:$B$17=$A$10)*A136+(Pesos_Indicadores!$B$5:$B$17&lt;&gt;$A$10)*Pesos_Indicadores!$G$5:$G$17*(1-A136)/(1-$B$10))),0)</f>
        <v>0.990653846153846</v>
      </c>
      <c r="C136" s="60" t="n">
        <f aca="false">IF(B136=0,"",IFERROR(SUMPRODUCT(Normalizacao!$AL$5:$AL$17,Pesos_Indicadores!$I$5:$I$17,((Pesos_Indicadores!$B$5:$B$17=$A$10)*A136+(Pesos_Indicadores!$B$5:$B$17&lt;&gt;$A$10)*Pesos_Indicadores!$G$5:$G$17*(1-A136)/(1-$B$10)),Normalizacao!$AI$5:$AI$17)/B136,""))</f>
        <v>0.682105402197212</v>
      </c>
      <c r="D136" s="60" t="n">
        <f aca="false">IF(B136=0,"",IFERROR(SUMPRODUCT(Normalizacao!$AL$5:$AL$17,Pesos_Indicadores!$I$5:$I$17,((Pesos_Indicadores!$B$5:$B$17=$A$10)*A136+(Pesos_Indicadores!$B$5:$B$17&lt;&gt;$A$10)*Pesos_Indicadores!$G$5:$G$17*(1-A136)/(1-$B$10)),Normalizacao!$AJ$5:$AJ$17)/B136,""))</f>
        <v>0.836088184554304</v>
      </c>
      <c r="E136" s="60" t="n">
        <f aca="false">IF(B136=0,"",IFERROR(SUMPRODUCT(Normalizacao!$AL$5:$AL$17,Pesos_Indicadores!$I$5:$I$17,((Pesos_Indicadores!$B$5:$B$17=$A$10)*A136+(Pesos_Indicadores!$B$5:$B$17&lt;&gt;$A$10)*Pesos_Indicadores!$G$5:$G$17*(1-A136)/(1-$B$10)),Normalizacao!$AK$5:$AK$17)/B136,""))</f>
        <v>0.862275305256969</v>
      </c>
      <c r="F136" s="17" t="str">
        <f aca="false">IF(C136="","",IF(INDEX(C136:E136,$B$5)&gt;=MAX(C136:E136),$B$4,INDEX(Pontuacao!$A$29:$A$31,MATCH(MAX(C136:E136),C136:E136,0))))</f>
        <v>Microsoft Azure</v>
      </c>
      <c r="G136" s="43" t="str">
        <f aca="false">IF(OR(F136="",F136=$B$4,ABS(A136-$B$10)&lt;0.000000001),"",ABS(A136-$B$10))</f>
        <v/>
      </c>
      <c r="I136" s="60" t="n">
        <f aca="false">(ROW()-17)*$B$6</f>
        <v>0.595</v>
      </c>
      <c r="J136" s="43" t="n">
        <f aca="false">IFERROR(SUMPRODUCT(Normalizacao!$AL$5:$AL$17,Pesos_Indicadores!$I$5:$I$17,((Pesos_Indicadores!$B$5:$B$17=$A$11)*I136+(Pesos_Indicadores!$B$5:$B$17&lt;&gt;$A$11)*Pesos_Indicadores!$G$5:$G$17*(1-I136)/(1-$B$11))),0)</f>
        <v>0.862692307692308</v>
      </c>
      <c r="K136" s="60" t="n">
        <f aca="false">IF(J136=0,"",IFERROR(SUMPRODUCT(Normalizacao!$AL$5:$AL$17,Pesos_Indicadores!$I$5:$I$17,((Pesos_Indicadores!$B$5:$B$17=$A$11)*I136+(Pesos_Indicadores!$B$5:$B$17&lt;&gt;$A$11)*Pesos_Indicadores!$G$5:$G$17*(1-I136)/(1-$B$11)),Normalizacao!$AI$5:$AI$17)/J136,""))</f>
        <v>0.797501258683257</v>
      </c>
      <c r="L136" s="60" t="n">
        <f aca="false">IF(J136=0,"",IFERROR(SUMPRODUCT(Normalizacao!$AL$5:$AL$17,Pesos_Indicadores!$I$5:$I$17,((Pesos_Indicadores!$B$5:$B$17=$A$11)*I136+(Pesos_Indicadores!$B$5:$B$17&lt;&gt;$A$11)*Pesos_Indicadores!$G$5:$G$17*(1-I136)/(1-$B$11)),Normalizacao!$AJ$5:$AJ$17)/J136,""))</f>
        <v>0.809537093663378</v>
      </c>
      <c r="M136" s="60" t="n">
        <f aca="false">IF(J136=0,"",IFERROR(SUMPRODUCT(Normalizacao!$AL$5:$AL$17,Pesos_Indicadores!$I$5:$I$17,((Pesos_Indicadores!$B$5:$B$17=$A$11)*I136+(Pesos_Indicadores!$B$5:$B$17&lt;&gt;$A$11)*Pesos_Indicadores!$G$5:$G$17*(1-I136)/(1-$B$11)),Normalizacao!$AK$5:$AK$17)/J136,""))</f>
        <v>0.836003536404688</v>
      </c>
      <c r="N136" s="17" t="str">
        <f aca="false">IF(K136="","",IF(INDEX(K136:M136,$B$5)&gt;=MAX(K136:M136),$B$4,INDEX(Pontuacao!$A$29:$A$31,MATCH(MAX(K136:M136),K136:M136,0))))</f>
        <v>Microsoft Azure</v>
      </c>
      <c r="O136" s="43" t="str">
        <f aca="false">IF(OR(N136="",N136=$B$4,ABS(I136-$B$11)&lt;0.000000001),"",ABS(I136-$B$11))</f>
        <v/>
      </c>
      <c r="Q136" s="60" t="n">
        <f aca="false">(ROW()-17)*$B$6</f>
        <v>0.595</v>
      </c>
      <c r="R136" s="43" t="n">
        <f aca="false">IFERROR(SUMPRODUCT(Normalizacao!$AL$5:$AL$17,Pesos_Indicadores!$I$5:$I$17,((Pesos_Indicadores!$B$5:$B$17=$A$12)*Q136+(Pesos_Indicadores!$B$5:$B$17&lt;&gt;$A$12)*Pesos_Indicadores!$G$5:$G$17*(1-Q136)/(1-$B$12))),0)</f>
        <v>0.953269230769231</v>
      </c>
      <c r="S136" s="60" t="n">
        <f aca="false">IF(R136=0,"",IFERROR(SUMPRODUCT(Normalizacao!$AL$5:$AL$17,Pesos_Indicadores!$I$5:$I$17,((Pesos_Indicadores!$B$5:$B$17=$A$12)*Q136+(Pesos_Indicadores!$B$5:$B$17&lt;&gt;$A$12)*Pesos_Indicadores!$G$5:$G$17*(1-Q136)/(1-$B$12)),Normalizacao!$AI$5:$AI$17)/R136,""))</f>
        <v>0.741215096281107</v>
      </c>
      <c r="T136" s="60" t="n">
        <f aca="false">IF(R136=0,"",IFERROR(SUMPRODUCT(Normalizacao!$AL$5:$AL$17,Pesos_Indicadores!$I$5:$I$17,((Pesos_Indicadores!$B$5:$B$17=$A$12)*Q136+(Pesos_Indicadores!$B$5:$B$17&lt;&gt;$A$12)*Pesos_Indicadores!$G$5:$G$17*(1-Q136)/(1-$B$12)),Normalizacao!$AJ$5:$AJ$17)/R136,""))</f>
        <v>0.795676217645666</v>
      </c>
      <c r="U136" s="60" t="n">
        <f aca="false">IF(R136=0,"",IFERROR(SUMPRODUCT(Normalizacao!$AL$5:$AL$17,Pesos_Indicadores!$I$5:$I$17,((Pesos_Indicadores!$B$5:$B$17=$A$12)*Q136+(Pesos_Indicadores!$B$5:$B$17&lt;&gt;$A$12)*Pesos_Indicadores!$G$5:$G$17*(1-Q136)/(1-$B$12)),Normalizacao!$AK$5:$AK$17)/R136,""))</f>
        <v>0.835760464159186</v>
      </c>
      <c r="V136" s="17" t="str">
        <f aca="false">IF(S136="","",IF(INDEX(S136:U136,$B$5)&gt;=MAX(S136:U136),$B$4,INDEX(Pontuacao!$A$29:$A$31,MATCH(MAX(S136:U136),S136:U136,0))))</f>
        <v>Microsoft Azure</v>
      </c>
      <c r="W136" s="43" t="str">
        <f aca="false">IF(OR(V136="",V136=$B$4,ABS(Q136-$B$12)&lt;0.000000001),"",ABS(Q136-$B$12))</f>
        <v/>
      </c>
    </row>
    <row r="137" customFormat="false" ht="15" hidden="false" customHeight="true" outlineLevel="0" collapsed="false">
      <c r="A137" s="60" t="n">
        <f aca="false">(ROW()-17)*$B$6</f>
        <v>0.6</v>
      </c>
      <c r="B137" s="43" t="n">
        <f aca="false">IFERROR(SUMPRODUCT(Normalizacao!$AL$5:$AL$17,Pesos_Indicadores!$I$5:$I$17,((Pesos_Indicadores!$B$5:$B$17=$A$10)*A137+(Pesos_Indicadores!$B$5:$B$17&lt;&gt;$A$10)*Pesos_Indicadores!$G$5:$G$17*(1-A137)/(1-$B$10))),0)</f>
        <v>0.990769230769231</v>
      </c>
      <c r="C137" s="60" t="n">
        <f aca="false">IF(B137=0,"",IFERROR(SUMPRODUCT(Normalizacao!$AL$5:$AL$17,Pesos_Indicadores!$I$5:$I$17,((Pesos_Indicadores!$B$5:$B$17=$A$10)*A137+(Pesos_Indicadores!$B$5:$B$17&lt;&gt;$A$10)*Pesos_Indicadores!$G$5:$G$17*(1-A137)/(1-$B$10)),Normalizacao!$AI$5:$AI$17)/B137,""))</f>
        <v>0.681477589294598</v>
      </c>
      <c r="D137" s="60" t="n">
        <f aca="false">IF(B137=0,"",IFERROR(SUMPRODUCT(Normalizacao!$AL$5:$AL$17,Pesos_Indicadores!$I$5:$I$17,((Pesos_Indicadores!$B$5:$B$17=$A$10)*A137+(Pesos_Indicadores!$B$5:$B$17&lt;&gt;$A$10)*Pesos_Indicadores!$G$5:$G$17*(1-A137)/(1-$B$10)),Normalizacao!$AJ$5:$AJ$17)/B137,""))</f>
        <v>0.836736261139617</v>
      </c>
      <c r="E137" s="60" t="n">
        <f aca="false">IF(B137=0,"",IFERROR(SUMPRODUCT(Normalizacao!$AL$5:$AL$17,Pesos_Indicadores!$I$5:$I$17,((Pesos_Indicadores!$B$5:$B$17=$A$10)*A137+(Pesos_Indicadores!$B$5:$B$17&lt;&gt;$A$10)*Pesos_Indicadores!$G$5:$G$17*(1-A137)/(1-$B$10)),Normalizacao!$AK$5:$AK$17)/B137,""))</f>
        <v>0.862663508198646</v>
      </c>
      <c r="F137" s="17" t="str">
        <f aca="false">IF(C137="","",IF(INDEX(C137:E137,$B$5)&gt;=MAX(C137:E137),$B$4,INDEX(Pontuacao!$A$29:$A$31,MATCH(MAX(C137:E137),C137:E137,0))))</f>
        <v>Microsoft Azure</v>
      </c>
      <c r="G137" s="43" t="str">
        <f aca="false">IF(OR(F137="",F137=$B$4,ABS(A137-$B$10)&lt;0.000000001),"",ABS(A137-$B$10))</f>
        <v/>
      </c>
      <c r="I137" s="60" t="n">
        <f aca="false">(ROW()-17)*$B$6</f>
        <v>0.6</v>
      </c>
      <c r="J137" s="43" t="n">
        <f aca="false">IFERROR(SUMPRODUCT(Normalizacao!$AL$5:$AL$17,Pesos_Indicadores!$I$5:$I$17,((Pesos_Indicadores!$B$5:$B$17=$A$11)*I137+(Pesos_Indicadores!$B$5:$B$17&lt;&gt;$A$11)*Pesos_Indicadores!$G$5:$G$17*(1-I137)/(1-$B$11))),0)</f>
        <v>0.861538461538462</v>
      </c>
      <c r="K137" s="60" t="n">
        <f aca="false">IF(J137=0,"",IFERROR(SUMPRODUCT(Normalizacao!$AL$5:$AL$17,Pesos_Indicadores!$I$5:$I$17,((Pesos_Indicadores!$B$5:$B$17=$A$11)*I137+(Pesos_Indicadores!$B$5:$B$17&lt;&gt;$A$11)*Pesos_Indicadores!$G$5:$G$17*(1-I137)/(1-$B$11)),Normalizacao!$AI$5:$AI$17)/J137,""))</f>
        <v>0.798079948512586</v>
      </c>
      <c r="L137" s="60" t="n">
        <f aca="false">IF(J137=0,"",IFERROR(SUMPRODUCT(Normalizacao!$AL$5:$AL$17,Pesos_Indicadores!$I$5:$I$17,((Pesos_Indicadores!$B$5:$B$17=$A$11)*I137+(Pesos_Indicadores!$B$5:$B$17&lt;&gt;$A$11)*Pesos_Indicadores!$G$5:$G$17*(1-I137)/(1-$B$11)),Normalizacao!$AJ$5:$AJ$17)/J137,""))</f>
        <v>0.809983113354037</v>
      </c>
      <c r="M137" s="60" t="n">
        <f aca="false">IF(J137=0,"",IFERROR(SUMPRODUCT(Normalizacao!$AL$5:$AL$17,Pesos_Indicadores!$I$5:$I$17,((Pesos_Indicadores!$B$5:$B$17=$A$11)*I137+(Pesos_Indicadores!$B$5:$B$17&lt;&gt;$A$11)*Pesos_Indicadores!$G$5:$G$17*(1-I137)/(1-$B$11)),Normalizacao!$AK$5:$AK$17)/J137,""))</f>
        <v>0.836153849759976</v>
      </c>
      <c r="N137" s="17" t="str">
        <f aca="false">IF(K137="","",IF(INDEX(K137:M137,$B$5)&gt;=MAX(K137:M137),$B$4,INDEX(Pontuacao!$A$29:$A$31,MATCH(MAX(K137:M137),K137:M137,0))))</f>
        <v>Microsoft Azure</v>
      </c>
      <c r="O137" s="43" t="str">
        <f aca="false">IF(OR(N137="",N137=$B$4,ABS(I137-$B$11)&lt;0.000000001),"",ABS(I137-$B$11))</f>
        <v/>
      </c>
      <c r="Q137" s="60" t="n">
        <f aca="false">(ROW()-17)*$B$6</f>
        <v>0.6</v>
      </c>
      <c r="R137" s="43" t="n">
        <f aca="false">IFERROR(SUMPRODUCT(Normalizacao!$AL$5:$AL$17,Pesos_Indicadores!$I$5:$I$17,((Pesos_Indicadores!$B$5:$B$17=$A$12)*Q137+(Pesos_Indicadores!$B$5:$B$17&lt;&gt;$A$12)*Pesos_Indicadores!$G$5:$G$17*(1-Q137)/(1-$B$12))),0)</f>
        <v>0.953846153846154</v>
      </c>
      <c r="S137" s="60" t="n">
        <f aca="false">IF(R137=0,"",IFERROR(SUMPRODUCT(Normalizacao!$AL$5:$AL$17,Pesos_Indicadores!$I$5:$I$17,((Pesos_Indicadores!$B$5:$B$17=$A$12)*Q137+(Pesos_Indicadores!$B$5:$B$17&lt;&gt;$A$12)*Pesos_Indicadores!$G$5:$G$17*(1-Q137)/(1-$B$12)),Normalizacao!$AI$5:$AI$17)/R137,""))</f>
        <v>0.741328799734259</v>
      </c>
      <c r="T137" s="60" t="n">
        <f aca="false">IF(R137=0,"",IFERROR(SUMPRODUCT(Normalizacao!$AL$5:$AL$17,Pesos_Indicadores!$I$5:$I$17,((Pesos_Indicadores!$B$5:$B$17=$A$12)*Q137+(Pesos_Indicadores!$B$5:$B$17&lt;&gt;$A$12)*Pesos_Indicadores!$G$5:$G$17*(1-Q137)/(1-$B$12)),Normalizacao!$AJ$5:$AJ$17)/R137,""))</f>
        <v>0.795085028050491</v>
      </c>
      <c r="U137" s="60" t="n">
        <f aca="false">IF(R137=0,"",IFERROR(SUMPRODUCT(Normalizacao!$AL$5:$AL$17,Pesos_Indicadores!$I$5:$I$17,((Pesos_Indicadores!$B$5:$B$17=$A$12)*Q137+(Pesos_Indicadores!$B$5:$B$17&lt;&gt;$A$12)*Pesos_Indicadores!$G$5:$G$17*(1-Q137)/(1-$B$12)),Normalizacao!$AK$5:$AK$17)/R137,""))</f>
        <v>0.835459402795118</v>
      </c>
      <c r="V137" s="17" t="str">
        <f aca="false">IF(S137="","",IF(INDEX(S137:U137,$B$5)&gt;=MAX(S137:U137),$B$4,INDEX(Pontuacao!$A$29:$A$31,MATCH(MAX(S137:U137),S137:U137,0))))</f>
        <v>Microsoft Azure</v>
      </c>
      <c r="W137" s="43" t="str">
        <f aca="false">IF(OR(V137="",V137=$B$4,ABS(Q137-$B$12)&lt;0.000000001),"",ABS(Q137-$B$12))</f>
        <v/>
      </c>
    </row>
    <row r="138" customFormat="false" ht="15" hidden="false" customHeight="true" outlineLevel="0" collapsed="false">
      <c r="A138" s="60" t="n">
        <f aca="false">(ROW()-17)*$B$6</f>
        <v>0.605</v>
      </c>
      <c r="B138" s="43" t="n">
        <f aca="false">IFERROR(SUMPRODUCT(Normalizacao!$AL$5:$AL$17,Pesos_Indicadores!$I$5:$I$17,((Pesos_Indicadores!$B$5:$B$17=$A$10)*A138+(Pesos_Indicadores!$B$5:$B$17&lt;&gt;$A$10)*Pesos_Indicadores!$G$5:$G$17*(1-A138)/(1-$B$10))),0)</f>
        <v>0.990884615384616</v>
      </c>
      <c r="C138" s="60" t="n">
        <f aca="false">IF(B138=0,"",IFERROR(SUMPRODUCT(Normalizacao!$AL$5:$AL$17,Pesos_Indicadores!$I$5:$I$17,((Pesos_Indicadores!$B$5:$B$17=$A$10)*A138+(Pesos_Indicadores!$B$5:$B$17&lt;&gt;$A$10)*Pesos_Indicadores!$G$5:$G$17*(1-A138)/(1-$B$10)),Normalizacao!$AI$5:$AI$17)/B138,""))</f>
        <v>0.680849922604668</v>
      </c>
      <c r="D138" s="60" t="n">
        <f aca="false">IF(B138=0,"",IFERROR(SUMPRODUCT(Normalizacao!$AL$5:$AL$17,Pesos_Indicadores!$I$5:$I$17,((Pesos_Indicadores!$B$5:$B$17=$A$10)*A138+(Pesos_Indicadores!$B$5:$B$17&lt;&gt;$A$10)*Pesos_Indicadores!$G$5:$G$17*(1-A138)/(1-$B$10)),Normalizacao!$AJ$5:$AJ$17)/B138,""))</f>
        <v>0.837384186792991</v>
      </c>
      <c r="E138" s="60" t="n">
        <f aca="false">IF(B138=0,"",IFERROR(SUMPRODUCT(Normalizacao!$AL$5:$AL$17,Pesos_Indicadores!$I$5:$I$17,((Pesos_Indicadores!$B$5:$B$17=$A$10)*A138+(Pesos_Indicadores!$B$5:$B$17&lt;&gt;$A$10)*Pesos_Indicadores!$G$5:$G$17*(1-A138)/(1-$B$10)),Normalizacao!$AK$5:$AK$17)/B138,""))</f>
        <v>0.863051620730912</v>
      </c>
      <c r="F138" s="17" t="str">
        <f aca="false">IF(C138="","",IF(INDEX(C138:E138,$B$5)&gt;=MAX(C138:E138),$B$4,INDEX(Pontuacao!$A$29:$A$31,MATCH(MAX(C138:E138),C138:E138,0))))</f>
        <v>Microsoft Azure</v>
      </c>
      <c r="G138" s="43" t="str">
        <f aca="false">IF(OR(F138="",F138=$B$4,ABS(A138-$B$10)&lt;0.000000001),"",ABS(A138-$B$10))</f>
        <v/>
      </c>
      <c r="I138" s="60" t="n">
        <f aca="false">(ROW()-17)*$B$6</f>
        <v>0.605</v>
      </c>
      <c r="J138" s="43" t="n">
        <f aca="false">IFERROR(SUMPRODUCT(Normalizacao!$AL$5:$AL$17,Pesos_Indicadores!$I$5:$I$17,((Pesos_Indicadores!$B$5:$B$17=$A$11)*I138+(Pesos_Indicadores!$B$5:$B$17&lt;&gt;$A$11)*Pesos_Indicadores!$G$5:$G$17*(1-I138)/(1-$B$11))),0)</f>
        <v>0.860384615384616</v>
      </c>
      <c r="K138" s="60" t="n">
        <f aca="false">IF(J138=0,"",IFERROR(SUMPRODUCT(Normalizacao!$AL$5:$AL$17,Pesos_Indicadores!$I$5:$I$17,((Pesos_Indicadores!$B$5:$B$17=$A$11)*I138+(Pesos_Indicadores!$B$5:$B$17&lt;&gt;$A$11)*Pesos_Indicadores!$G$5:$G$17*(1-I138)/(1-$B$11)),Normalizacao!$AI$5:$AI$17)/J138,""))</f>
        <v>0.798660190482718</v>
      </c>
      <c r="L138" s="60" t="n">
        <f aca="false">IF(J138=0,"",IFERROR(SUMPRODUCT(Normalizacao!$AL$5:$AL$17,Pesos_Indicadores!$I$5:$I$17,((Pesos_Indicadores!$B$5:$B$17=$A$11)*I138+(Pesos_Indicadores!$B$5:$B$17&lt;&gt;$A$11)*Pesos_Indicadores!$G$5:$G$17*(1-I138)/(1-$B$11)),Normalizacao!$AJ$5:$AJ$17)/J138,""))</f>
        <v>0.810430329342481</v>
      </c>
      <c r="M138" s="60" t="n">
        <f aca="false">IF(J138=0,"",IFERROR(SUMPRODUCT(Normalizacao!$AL$5:$AL$17,Pesos_Indicadores!$I$5:$I$17,((Pesos_Indicadores!$B$5:$B$17=$A$11)*I138+(Pesos_Indicadores!$B$5:$B$17&lt;&gt;$A$11)*Pesos_Indicadores!$G$5:$G$17*(1-I138)/(1-$B$11)),Normalizacao!$AK$5:$AK$17)/J138,""))</f>
        <v>0.836304566280276</v>
      </c>
      <c r="N138" s="17" t="str">
        <f aca="false">IF(K138="","",IF(INDEX(K138:M138,$B$5)&gt;=MAX(K138:M138),$B$4,INDEX(Pontuacao!$A$29:$A$31,MATCH(MAX(K138:M138),K138:M138,0))))</f>
        <v>Microsoft Azure</v>
      </c>
      <c r="O138" s="43" t="str">
        <f aca="false">IF(OR(N138="",N138=$B$4,ABS(I138-$B$11)&lt;0.000000001),"",ABS(I138-$B$11))</f>
        <v/>
      </c>
      <c r="Q138" s="60" t="n">
        <f aca="false">(ROW()-17)*$B$6</f>
        <v>0.605</v>
      </c>
      <c r="R138" s="43" t="n">
        <f aca="false">IFERROR(SUMPRODUCT(Normalizacao!$AL$5:$AL$17,Pesos_Indicadores!$I$5:$I$17,((Pesos_Indicadores!$B$5:$B$17=$A$12)*Q138+(Pesos_Indicadores!$B$5:$B$17&lt;&gt;$A$12)*Pesos_Indicadores!$G$5:$G$17*(1-Q138)/(1-$B$12))),0)</f>
        <v>0.954423076923077</v>
      </c>
      <c r="S138" s="60" t="n">
        <f aca="false">IF(R138=0,"",IFERROR(SUMPRODUCT(Normalizacao!$AL$5:$AL$17,Pesos_Indicadores!$I$5:$I$17,((Pesos_Indicadores!$B$5:$B$17=$A$12)*Q138+(Pesos_Indicadores!$B$5:$B$17&lt;&gt;$A$12)*Pesos_Indicadores!$G$5:$G$17*(1-Q138)/(1-$B$12)),Normalizacao!$AI$5:$AI$17)/R138,""))</f>
        <v>0.741442365726053</v>
      </c>
      <c r="T138" s="60" t="n">
        <f aca="false">IF(R138=0,"",IFERROR(SUMPRODUCT(Normalizacao!$AL$5:$AL$17,Pesos_Indicadores!$I$5:$I$17,((Pesos_Indicadores!$B$5:$B$17=$A$12)*Q138+(Pesos_Indicadores!$B$5:$B$17&lt;&gt;$A$12)*Pesos_Indicadores!$G$5:$G$17*(1-Q138)/(1-$B$12)),Normalizacao!$AJ$5:$AJ$17)/R138,""))</f>
        <v>0.794494553171732</v>
      </c>
      <c r="U138" s="60" t="n">
        <f aca="false">IF(R138=0,"",IFERROR(SUMPRODUCT(Normalizacao!$AL$5:$AL$17,Pesos_Indicadores!$I$5:$I$17,((Pesos_Indicadores!$B$5:$B$17=$A$12)*Q138+(Pesos_Indicadores!$B$5:$B$17&lt;&gt;$A$12)*Pesos_Indicadores!$G$5:$G$17*(1-Q138)/(1-$B$12)),Normalizacao!$AK$5:$AK$17)/R138,""))</f>
        <v>0.835158705398043</v>
      </c>
      <c r="V138" s="17" t="str">
        <f aca="false">IF(S138="","",IF(INDEX(S138:U138,$B$5)&gt;=MAX(S138:U138),$B$4,INDEX(Pontuacao!$A$29:$A$31,MATCH(MAX(S138:U138),S138:U138,0))))</f>
        <v>Microsoft Azure</v>
      </c>
      <c r="W138" s="43" t="str">
        <f aca="false">IF(OR(V138="",V138=$B$4,ABS(Q138-$B$12)&lt;0.000000001),"",ABS(Q138-$B$12))</f>
        <v/>
      </c>
    </row>
    <row r="139" customFormat="false" ht="15" hidden="false" customHeight="true" outlineLevel="0" collapsed="false">
      <c r="A139" s="60" t="n">
        <f aca="false">(ROW()-17)*$B$6</f>
        <v>0.61</v>
      </c>
      <c r="B139" s="43" t="n">
        <f aca="false">IFERROR(SUMPRODUCT(Normalizacao!$AL$5:$AL$17,Pesos_Indicadores!$I$5:$I$17,((Pesos_Indicadores!$B$5:$B$17=$A$10)*A139+(Pesos_Indicadores!$B$5:$B$17&lt;&gt;$A$10)*Pesos_Indicadores!$G$5:$G$17*(1-A139)/(1-$B$10))),0)</f>
        <v>0.991</v>
      </c>
      <c r="C139" s="60" t="n">
        <f aca="false">IF(B139=0,"",IFERROR(SUMPRODUCT(Normalizacao!$AL$5:$AL$17,Pesos_Indicadores!$I$5:$I$17,((Pesos_Indicadores!$B$5:$B$17=$A$10)*A139+(Pesos_Indicadores!$B$5:$B$17&lt;&gt;$A$10)*Pesos_Indicadores!$G$5:$G$17*(1-A139)/(1-$B$10)),Normalizacao!$AI$5:$AI$17)/B139,""))</f>
        <v>0.680222402076353</v>
      </c>
      <c r="D139" s="60" t="n">
        <f aca="false">IF(B139=0,"",IFERROR(SUMPRODUCT(Normalizacao!$AL$5:$AL$17,Pesos_Indicadores!$I$5:$I$17,((Pesos_Indicadores!$B$5:$B$17=$A$10)*A139+(Pesos_Indicadores!$B$5:$B$17&lt;&gt;$A$10)*Pesos_Indicadores!$G$5:$G$17*(1-A139)/(1-$B$10)),Normalizacao!$AJ$5:$AJ$17)/B139,""))</f>
        <v>0.838031961567148</v>
      </c>
      <c r="E139" s="60" t="n">
        <f aca="false">IF(B139=0,"",IFERROR(SUMPRODUCT(Normalizacao!$AL$5:$AL$17,Pesos_Indicadores!$I$5:$I$17,((Pesos_Indicadores!$B$5:$B$17=$A$10)*A139+(Pesos_Indicadores!$B$5:$B$17&lt;&gt;$A$10)*Pesos_Indicadores!$G$5:$G$17*(1-A139)/(1-$B$10)),Normalizacao!$AK$5:$AK$17)/B139,""))</f>
        <v>0.863439642885347</v>
      </c>
      <c r="F139" s="17" t="str">
        <f aca="false">IF(C139="","",IF(INDEX(C139:E139,$B$5)&gt;=MAX(C139:E139),$B$4,INDEX(Pontuacao!$A$29:$A$31,MATCH(MAX(C139:E139),C139:E139,0))))</f>
        <v>Microsoft Azure</v>
      </c>
      <c r="G139" s="43" t="str">
        <f aca="false">IF(OR(F139="",F139=$B$4,ABS(A139-$B$10)&lt;0.000000001),"",ABS(A139-$B$10))</f>
        <v/>
      </c>
      <c r="I139" s="60" t="n">
        <f aca="false">(ROW()-17)*$B$6</f>
        <v>0.61</v>
      </c>
      <c r="J139" s="43" t="n">
        <f aca="false">IFERROR(SUMPRODUCT(Normalizacao!$AL$5:$AL$17,Pesos_Indicadores!$I$5:$I$17,((Pesos_Indicadores!$B$5:$B$17=$A$11)*I139+(Pesos_Indicadores!$B$5:$B$17&lt;&gt;$A$11)*Pesos_Indicadores!$G$5:$G$17*(1-I139)/(1-$B$11))),0)</f>
        <v>0.859230769230769</v>
      </c>
      <c r="K139" s="60" t="n">
        <f aca="false">IF(J139=0,"",IFERROR(SUMPRODUCT(Normalizacao!$AL$5:$AL$17,Pesos_Indicadores!$I$5:$I$17,((Pesos_Indicadores!$B$5:$B$17=$A$11)*I139+(Pesos_Indicadores!$B$5:$B$17&lt;&gt;$A$11)*Pesos_Indicadores!$G$5:$G$17*(1-I139)/(1-$B$11)),Normalizacao!$AI$5:$AI$17)/J139,""))</f>
        <v>0.799241990846682</v>
      </c>
      <c r="L139" s="60" t="n">
        <f aca="false">IF(J139=0,"",IFERROR(SUMPRODUCT(Normalizacao!$AL$5:$AL$17,Pesos_Indicadores!$I$5:$I$17,((Pesos_Indicadores!$B$5:$B$17=$A$11)*I139+(Pesos_Indicadores!$B$5:$B$17&lt;&gt;$A$11)*Pesos_Indicadores!$G$5:$G$17*(1-I139)/(1-$B$11)),Normalizacao!$AJ$5:$AJ$17)/J139,""))</f>
        <v>0.810878746448173</v>
      </c>
      <c r="M139" s="60" t="n">
        <f aca="false">IF(J139=0,"",IFERROR(SUMPRODUCT(Normalizacao!$AL$5:$AL$17,Pesos_Indicadores!$I$5:$I$17,((Pesos_Indicadores!$B$5:$B$17=$A$11)*I139+(Pesos_Indicadores!$B$5:$B$17&lt;&gt;$A$11)*Pesos_Indicadores!$G$5:$G$17*(1-I139)/(1-$B$11)),Normalizacao!$AK$5:$AK$17)/J139,""))</f>
        <v>0.836455687589798</v>
      </c>
      <c r="N139" s="17" t="str">
        <f aca="false">IF(K139="","",IF(INDEX(K139:M139,$B$5)&gt;=MAX(K139:M139),$B$4,INDEX(Pontuacao!$A$29:$A$31,MATCH(MAX(K139:M139),K139:M139,0))))</f>
        <v>Microsoft Azure</v>
      </c>
      <c r="O139" s="43" t="str">
        <f aca="false">IF(OR(N139="",N139=$B$4,ABS(I139-$B$11)&lt;0.000000001),"",ABS(I139-$B$11))</f>
        <v/>
      </c>
      <c r="Q139" s="60" t="n">
        <f aca="false">(ROW()-17)*$B$6</f>
        <v>0.61</v>
      </c>
      <c r="R139" s="43" t="n">
        <f aca="false">IFERROR(SUMPRODUCT(Normalizacao!$AL$5:$AL$17,Pesos_Indicadores!$I$5:$I$17,((Pesos_Indicadores!$B$5:$B$17=$A$12)*Q139+(Pesos_Indicadores!$B$5:$B$17&lt;&gt;$A$12)*Pesos_Indicadores!$G$5:$G$17*(1-Q139)/(1-$B$12))),0)</f>
        <v>0.955</v>
      </c>
      <c r="S139" s="60" t="n">
        <f aca="false">IF(R139=0,"",IFERROR(SUMPRODUCT(Normalizacao!$AL$5:$AL$17,Pesos_Indicadores!$I$5:$I$17,((Pesos_Indicadores!$B$5:$B$17=$A$12)*Q139+(Pesos_Indicadores!$B$5:$B$17&lt;&gt;$A$12)*Pesos_Indicadores!$G$5:$G$17*(1-Q139)/(1-$B$12)),Normalizacao!$AI$5:$AI$17)/R139,""))</f>
        <v>0.741555794505613</v>
      </c>
      <c r="T139" s="60" t="n">
        <f aca="false">IF(R139=0,"",IFERROR(SUMPRODUCT(Normalizacao!$AL$5:$AL$17,Pesos_Indicadores!$I$5:$I$17,((Pesos_Indicadores!$B$5:$B$17=$A$12)*Q139+(Pesos_Indicadores!$B$5:$B$17&lt;&gt;$A$12)*Pesos_Indicadores!$G$5:$G$17*(1-Q139)/(1-$B$12)),Normalizacao!$AJ$5:$AJ$17)/R139,""))</f>
        <v>0.793904791714091</v>
      </c>
      <c r="U139" s="60" t="n">
        <f aca="false">IF(R139=0,"",IFERROR(SUMPRODUCT(Normalizacao!$AL$5:$AL$17,Pesos_Indicadores!$I$5:$I$17,((Pesos_Indicadores!$B$5:$B$17=$A$12)*Q139+(Pesos_Indicadores!$B$5:$B$17&lt;&gt;$A$12)*Pesos_Indicadores!$G$5:$G$17*(1-Q139)/(1-$B$12)),Normalizacao!$AK$5:$AK$17)/R139,""))</f>
        <v>0.834858371308335</v>
      </c>
      <c r="V139" s="17" t="str">
        <f aca="false">IF(S139="","",IF(INDEX(S139:U139,$B$5)&gt;=MAX(S139:U139),$B$4,INDEX(Pontuacao!$A$29:$A$31,MATCH(MAX(S139:U139),S139:U139,0))))</f>
        <v>Microsoft Azure</v>
      </c>
      <c r="W139" s="43" t="str">
        <f aca="false">IF(OR(V139="",V139=$B$4,ABS(Q139-$B$12)&lt;0.000000001),"",ABS(Q139-$B$12))</f>
        <v/>
      </c>
    </row>
    <row r="140" customFormat="false" ht="15" hidden="false" customHeight="true" outlineLevel="0" collapsed="false">
      <c r="A140" s="60" t="n">
        <f aca="false">(ROW()-17)*$B$6</f>
        <v>0.615</v>
      </c>
      <c r="B140" s="43" t="n">
        <f aca="false">IFERROR(SUMPRODUCT(Normalizacao!$AL$5:$AL$17,Pesos_Indicadores!$I$5:$I$17,((Pesos_Indicadores!$B$5:$B$17=$A$10)*A140+(Pesos_Indicadores!$B$5:$B$17&lt;&gt;$A$10)*Pesos_Indicadores!$G$5:$G$17*(1-A140)/(1-$B$10))),0)</f>
        <v>0.991115384615385</v>
      </c>
      <c r="C140" s="60" t="n">
        <f aca="false">IF(B140=0,"",IFERROR(SUMPRODUCT(Normalizacao!$AL$5:$AL$17,Pesos_Indicadores!$I$5:$I$17,((Pesos_Indicadores!$B$5:$B$17=$A$10)*A140+(Pesos_Indicadores!$B$5:$B$17&lt;&gt;$A$10)*Pesos_Indicadores!$G$5:$G$17*(1-A140)/(1-$B$10)),Normalizacao!$AI$5:$AI$17)/B140,""))</f>
        <v>0.679595027658604</v>
      </c>
      <c r="D140" s="60" t="n">
        <f aca="false">IF(B140=0,"",IFERROR(SUMPRODUCT(Normalizacao!$AL$5:$AL$17,Pesos_Indicadores!$I$5:$I$17,((Pesos_Indicadores!$B$5:$B$17=$A$10)*A140+(Pesos_Indicadores!$B$5:$B$17&lt;&gt;$A$10)*Pesos_Indicadores!$G$5:$G$17*(1-A140)/(1-$B$10)),Normalizacao!$AJ$5:$AJ$17)/B140,""))</f>
        <v>0.838679585514783</v>
      </c>
      <c r="E140" s="60" t="n">
        <f aca="false">IF(B140=0,"",IFERROR(SUMPRODUCT(Normalizacao!$AL$5:$AL$17,Pesos_Indicadores!$I$5:$I$17,((Pesos_Indicadores!$B$5:$B$17=$A$10)*A140+(Pesos_Indicadores!$B$5:$B$17&lt;&gt;$A$10)*Pesos_Indicadores!$G$5:$G$17*(1-A140)/(1-$B$10)),Normalizacao!$AK$5:$AK$17)/B140,""))</f>
        <v>0.863827574693517</v>
      </c>
      <c r="F140" s="17" t="str">
        <f aca="false">IF(C140="","",IF(INDEX(C140:E140,$B$5)&gt;=MAX(C140:E140),$B$4,INDEX(Pontuacao!$A$29:$A$31,MATCH(MAX(C140:E140),C140:E140,0))))</f>
        <v>Microsoft Azure</v>
      </c>
      <c r="G140" s="43" t="str">
        <f aca="false">IF(OR(F140="",F140=$B$4,ABS(A140-$B$10)&lt;0.000000001),"",ABS(A140-$B$10))</f>
        <v/>
      </c>
      <c r="I140" s="60" t="n">
        <f aca="false">(ROW()-17)*$B$6</f>
        <v>0.615</v>
      </c>
      <c r="J140" s="43" t="n">
        <f aca="false">IFERROR(SUMPRODUCT(Normalizacao!$AL$5:$AL$17,Pesos_Indicadores!$I$5:$I$17,((Pesos_Indicadores!$B$5:$B$17=$A$11)*I140+(Pesos_Indicadores!$B$5:$B$17&lt;&gt;$A$11)*Pesos_Indicadores!$G$5:$G$17*(1-I140)/(1-$B$11))),0)</f>
        <v>0.858076923076923</v>
      </c>
      <c r="K140" s="60" t="n">
        <f aca="false">IF(J140=0,"",IFERROR(SUMPRODUCT(Normalizacao!$AL$5:$AL$17,Pesos_Indicadores!$I$5:$I$17,((Pesos_Indicadores!$B$5:$B$17=$A$11)*I140+(Pesos_Indicadores!$B$5:$B$17&lt;&gt;$A$11)*Pesos_Indicadores!$G$5:$G$17*(1-I140)/(1-$B$11)),Normalizacao!$AI$5:$AI$17)/J140,""))</f>
        <v>0.799825355891141</v>
      </c>
      <c r="L140" s="60" t="n">
        <f aca="false">IF(J140=0,"",IFERROR(SUMPRODUCT(Normalizacao!$AL$5:$AL$17,Pesos_Indicadores!$I$5:$I$17,((Pesos_Indicadores!$B$5:$B$17=$A$11)*I140+(Pesos_Indicadores!$B$5:$B$17&lt;&gt;$A$11)*Pesos_Indicadores!$G$5:$G$17*(1-I140)/(1-$B$11)),Normalizacao!$AJ$5:$AJ$17)/J140,""))</f>
        <v>0.811328369516497</v>
      </c>
      <c r="M140" s="60" t="n">
        <f aca="false">IF(J140=0,"",IFERROR(SUMPRODUCT(Normalizacao!$AL$5:$AL$17,Pesos_Indicadores!$I$5:$I$17,((Pesos_Indicadores!$B$5:$B$17=$A$11)*I140+(Pesos_Indicadores!$B$5:$B$17&lt;&gt;$A$11)*Pesos_Indicadores!$G$5:$G$17*(1-I140)/(1-$B$11)),Normalizacao!$AK$5:$AK$17)/J140,""))</f>
        <v>0.836607215321487</v>
      </c>
      <c r="N140" s="17" t="str">
        <f aca="false">IF(K140="","",IF(INDEX(K140:M140,$B$5)&gt;=MAX(K140:M140),$B$4,INDEX(Pontuacao!$A$29:$A$31,MATCH(MAX(K140:M140),K140:M140,0))))</f>
        <v>Microsoft Azure</v>
      </c>
      <c r="O140" s="43" t="str">
        <f aca="false">IF(OR(N140="",N140=$B$4,ABS(I140-$B$11)&lt;0.000000001),"",ABS(I140-$B$11))</f>
        <v/>
      </c>
      <c r="Q140" s="60" t="n">
        <f aca="false">(ROW()-17)*$B$6</f>
        <v>0.615</v>
      </c>
      <c r="R140" s="43" t="n">
        <f aca="false">IFERROR(SUMPRODUCT(Normalizacao!$AL$5:$AL$17,Pesos_Indicadores!$I$5:$I$17,((Pesos_Indicadores!$B$5:$B$17=$A$12)*Q140+(Pesos_Indicadores!$B$5:$B$17&lt;&gt;$A$12)*Pesos_Indicadores!$G$5:$G$17*(1-Q140)/(1-$B$12))),0)</f>
        <v>0.955576923076923</v>
      </c>
      <c r="S140" s="60" t="n">
        <f aca="false">IF(R140=0,"",IFERROR(SUMPRODUCT(Normalizacao!$AL$5:$AL$17,Pesos_Indicadores!$I$5:$I$17,((Pesos_Indicadores!$B$5:$B$17=$A$12)*Q140+(Pesos_Indicadores!$B$5:$B$17&lt;&gt;$A$12)*Pesos_Indicadores!$G$5:$G$17*(1-Q140)/(1-$B$12)),Normalizacao!$AI$5:$AI$17)/R140,""))</f>
        <v>0.741669086321463</v>
      </c>
      <c r="T140" s="60" t="n">
        <f aca="false">IF(R140=0,"",IFERROR(SUMPRODUCT(Normalizacao!$AL$5:$AL$17,Pesos_Indicadores!$I$5:$I$17,((Pesos_Indicadores!$B$5:$B$17=$A$12)*Q140+(Pesos_Indicadores!$B$5:$B$17&lt;&gt;$A$12)*Pesos_Indicadores!$G$5:$G$17*(1-Q140)/(1-$B$12)),Normalizacao!$AJ$5:$AJ$17)/R140,""))</f>
        <v>0.793315742385398</v>
      </c>
      <c r="U140" s="60" t="n">
        <f aca="false">IF(R140=0,"",IFERROR(SUMPRODUCT(Normalizacao!$AL$5:$AL$17,Pesos_Indicadores!$I$5:$I$17,((Pesos_Indicadores!$B$5:$B$17=$A$12)*Q140+(Pesos_Indicadores!$B$5:$B$17&lt;&gt;$A$12)*Pesos_Indicadores!$G$5:$G$17*(1-Q140)/(1-$B$12)),Normalizacao!$AK$5:$AK$17)/R140,""))</f>
        <v>0.83455839986796</v>
      </c>
      <c r="V140" s="17" t="str">
        <f aca="false">IF(S140="","",IF(INDEX(S140:U140,$B$5)&gt;=MAX(S140:U140),$B$4,INDEX(Pontuacao!$A$29:$A$31,MATCH(MAX(S140:U140),S140:U140,0))))</f>
        <v>Microsoft Azure</v>
      </c>
      <c r="W140" s="43" t="str">
        <f aca="false">IF(OR(V140="",V140=$B$4,ABS(Q140-$B$12)&lt;0.000000001),"",ABS(Q140-$B$12))</f>
        <v/>
      </c>
    </row>
    <row r="141" customFormat="false" ht="15" hidden="false" customHeight="true" outlineLevel="0" collapsed="false">
      <c r="A141" s="60" t="n">
        <f aca="false">(ROW()-17)*$B$6</f>
        <v>0.62</v>
      </c>
      <c r="B141" s="43" t="n">
        <f aca="false">IFERROR(SUMPRODUCT(Normalizacao!$AL$5:$AL$17,Pesos_Indicadores!$I$5:$I$17,((Pesos_Indicadores!$B$5:$B$17=$A$10)*A141+(Pesos_Indicadores!$B$5:$B$17&lt;&gt;$A$10)*Pesos_Indicadores!$G$5:$G$17*(1-A141)/(1-$B$10))),0)</f>
        <v>0.991230769230769</v>
      </c>
      <c r="C141" s="60" t="n">
        <f aca="false">IF(B141=0,"",IFERROR(SUMPRODUCT(Normalizacao!$AL$5:$AL$17,Pesos_Indicadores!$I$5:$I$17,((Pesos_Indicadores!$B$5:$B$17=$A$10)*A141+(Pesos_Indicadores!$B$5:$B$17&lt;&gt;$A$10)*Pesos_Indicadores!$G$5:$G$17*(1-A141)/(1-$B$10)),Normalizacao!$AI$5:$AI$17)/B141,""))</f>
        <v>0.678967799300396</v>
      </c>
      <c r="D141" s="60" t="n">
        <f aca="false">IF(B141=0,"",IFERROR(SUMPRODUCT(Normalizacao!$AL$5:$AL$17,Pesos_Indicadores!$I$5:$I$17,((Pesos_Indicadores!$B$5:$B$17=$A$10)*A141+(Pesos_Indicadores!$B$5:$B$17&lt;&gt;$A$10)*Pesos_Indicadores!$G$5:$G$17*(1-A141)/(1-$B$10)),Normalizacao!$AJ$5:$AJ$17)/B141,""))</f>
        <v>0.839327058688567</v>
      </c>
      <c r="E141" s="60" t="n">
        <f aca="false">IF(B141=0,"",IFERROR(SUMPRODUCT(Normalizacao!$AL$5:$AL$17,Pesos_Indicadores!$I$5:$I$17,((Pesos_Indicadores!$B$5:$B$17=$A$10)*A141+(Pesos_Indicadores!$B$5:$B$17&lt;&gt;$A$10)*Pesos_Indicadores!$G$5:$G$17*(1-A141)/(1-$B$10)),Normalizacao!$AK$5:$AK$17)/B141,""))</f>
        <v>0.86421541618697</v>
      </c>
      <c r="F141" s="17" t="str">
        <f aca="false">IF(C141="","",IF(INDEX(C141:E141,$B$5)&gt;=MAX(C141:E141),$B$4,INDEX(Pontuacao!$A$29:$A$31,MATCH(MAX(C141:E141),C141:E141,0))))</f>
        <v>Microsoft Azure</v>
      </c>
      <c r="G141" s="43" t="str">
        <f aca="false">IF(OR(F141="",F141=$B$4,ABS(A141-$B$10)&lt;0.000000001),"",ABS(A141-$B$10))</f>
        <v/>
      </c>
      <c r="I141" s="60" t="n">
        <f aca="false">(ROW()-17)*$B$6</f>
        <v>0.62</v>
      </c>
      <c r="J141" s="43" t="n">
        <f aca="false">IFERROR(SUMPRODUCT(Normalizacao!$AL$5:$AL$17,Pesos_Indicadores!$I$5:$I$17,((Pesos_Indicadores!$B$5:$B$17=$A$11)*I141+(Pesos_Indicadores!$B$5:$B$17&lt;&gt;$A$11)*Pesos_Indicadores!$G$5:$G$17*(1-I141)/(1-$B$11))),0)</f>
        <v>0.856923076923077</v>
      </c>
      <c r="K141" s="60" t="n">
        <f aca="false">IF(J141=0,"",IFERROR(SUMPRODUCT(Normalizacao!$AL$5:$AL$17,Pesos_Indicadores!$I$5:$I$17,((Pesos_Indicadores!$B$5:$B$17=$A$11)*I141+(Pesos_Indicadores!$B$5:$B$17&lt;&gt;$A$11)*Pesos_Indicadores!$G$5:$G$17*(1-I141)/(1-$B$11)),Normalizacao!$AI$5:$AI$17)/J141,""))</f>
        <v>0.800410291936617</v>
      </c>
      <c r="L141" s="60" t="n">
        <f aca="false">IF(J141=0,"",IFERROR(SUMPRODUCT(Normalizacao!$AL$5:$AL$17,Pesos_Indicadores!$I$5:$I$17,((Pesos_Indicadores!$B$5:$B$17=$A$11)*I141+(Pesos_Indicadores!$B$5:$B$17&lt;&gt;$A$11)*Pesos_Indicadores!$G$5:$G$17*(1-I141)/(1-$B$11)),Normalizacao!$AJ$5:$AJ$17)/J141,""))</f>
        <v>0.811779203418937</v>
      </c>
      <c r="M141" s="60" t="n">
        <f aca="false">IF(J141=0,"",IFERROR(SUMPRODUCT(Normalizacao!$AL$5:$AL$17,Pesos_Indicadores!$I$5:$I$17,((Pesos_Indicadores!$B$5:$B$17=$A$11)*I141+(Pesos_Indicadores!$B$5:$B$17&lt;&gt;$A$11)*Pesos_Indicadores!$G$5:$G$17*(1-I141)/(1-$B$11)),Normalizacao!$AK$5:$AK$17)/J141,""))</f>
        <v>0.836759151117087</v>
      </c>
      <c r="N141" s="17" t="str">
        <f aca="false">IF(K141="","",IF(INDEX(K141:M141,$B$5)&gt;=MAX(K141:M141),$B$4,INDEX(Pontuacao!$A$29:$A$31,MATCH(MAX(K141:M141),K141:M141,0))))</f>
        <v>Microsoft Azure</v>
      </c>
      <c r="O141" s="43" t="str">
        <f aca="false">IF(OR(N141="",N141=$B$4,ABS(I141-$B$11)&lt;0.000000001),"",ABS(I141-$B$11))</f>
        <v/>
      </c>
      <c r="Q141" s="60" t="n">
        <f aca="false">(ROW()-17)*$B$6</f>
        <v>0.62</v>
      </c>
      <c r="R141" s="43" t="n">
        <f aca="false">IFERROR(SUMPRODUCT(Normalizacao!$AL$5:$AL$17,Pesos_Indicadores!$I$5:$I$17,((Pesos_Indicadores!$B$5:$B$17=$A$12)*Q141+(Pesos_Indicadores!$B$5:$B$17&lt;&gt;$A$12)*Pesos_Indicadores!$G$5:$G$17*(1-Q141)/(1-$B$12))),0)</f>
        <v>0.956153846153846</v>
      </c>
      <c r="S141" s="60" t="n">
        <f aca="false">IF(R141=0,"",IFERROR(SUMPRODUCT(Normalizacao!$AL$5:$AL$17,Pesos_Indicadores!$I$5:$I$17,((Pesos_Indicadores!$B$5:$B$17=$A$12)*Q141+(Pesos_Indicadores!$B$5:$B$17&lt;&gt;$A$12)*Pesos_Indicadores!$G$5:$G$17*(1-Q141)/(1-$B$12)),Normalizacao!$AI$5:$AI$17)/R141,""))</f>
        <v>0.741782241421526</v>
      </c>
      <c r="T141" s="60" t="n">
        <f aca="false">IF(R141=0,"",IFERROR(SUMPRODUCT(Normalizacao!$AL$5:$AL$17,Pesos_Indicadores!$I$5:$I$17,((Pesos_Indicadores!$B$5:$B$17=$A$12)*Q141+(Pesos_Indicadores!$B$5:$B$17&lt;&gt;$A$12)*Pesos_Indicadores!$G$5:$G$17*(1-Q141)/(1-$B$12)),Normalizacao!$AJ$5:$AJ$17)/R141,""))</f>
        <v>0.792727403896604</v>
      </c>
      <c r="U141" s="60" t="n">
        <f aca="false">IF(R141=0,"",IFERROR(SUMPRODUCT(Normalizacao!$AL$5:$AL$17,Pesos_Indicadores!$I$5:$I$17,((Pesos_Indicadores!$B$5:$B$17=$A$12)*Q141+(Pesos_Indicadores!$B$5:$B$17&lt;&gt;$A$12)*Pesos_Indicadores!$G$5:$G$17*(1-Q141)/(1-$B$12)),Normalizacao!$AK$5:$AK$17)/R141,""))</f>
        <v>0.834258790420474</v>
      </c>
      <c r="V141" s="17" t="str">
        <f aca="false">IF(S141="","",IF(INDEX(S141:U141,$B$5)&gt;=MAX(S141:U141),$B$4,INDEX(Pontuacao!$A$29:$A$31,MATCH(MAX(S141:U141),S141:U141,0))))</f>
        <v>Microsoft Azure</v>
      </c>
      <c r="W141" s="43" t="str">
        <f aca="false">IF(OR(V141="",V141=$B$4,ABS(Q141-$B$12)&lt;0.000000001),"",ABS(Q141-$B$12))</f>
        <v/>
      </c>
    </row>
    <row r="142" customFormat="false" ht="15" hidden="false" customHeight="true" outlineLevel="0" collapsed="false">
      <c r="A142" s="60" t="n">
        <f aca="false">(ROW()-17)*$B$6</f>
        <v>0.625</v>
      </c>
      <c r="B142" s="43" t="n">
        <f aca="false">IFERROR(SUMPRODUCT(Normalizacao!$AL$5:$AL$17,Pesos_Indicadores!$I$5:$I$17,((Pesos_Indicadores!$B$5:$B$17=$A$10)*A142+(Pesos_Indicadores!$B$5:$B$17&lt;&gt;$A$10)*Pesos_Indicadores!$G$5:$G$17*(1-A142)/(1-$B$10))),0)</f>
        <v>0.991346153846154</v>
      </c>
      <c r="C142" s="60" t="n">
        <f aca="false">IF(B142=0,"",IFERROR(SUMPRODUCT(Normalizacao!$AL$5:$AL$17,Pesos_Indicadores!$I$5:$I$17,((Pesos_Indicadores!$B$5:$B$17=$A$10)*A142+(Pesos_Indicadores!$B$5:$B$17&lt;&gt;$A$10)*Pesos_Indicadores!$G$5:$G$17*(1-A142)/(1-$B$10)),Normalizacao!$AI$5:$AI$17)/B142,""))</f>
        <v>0.678340716950729</v>
      </c>
      <c r="D142" s="60" t="n">
        <f aca="false">IF(B142=0,"",IFERROR(SUMPRODUCT(Normalizacao!$AL$5:$AL$17,Pesos_Indicadores!$I$5:$I$17,((Pesos_Indicadores!$B$5:$B$17=$A$10)*A142+(Pesos_Indicadores!$B$5:$B$17&lt;&gt;$A$10)*Pesos_Indicadores!$G$5:$G$17*(1-A142)/(1-$B$10)),Normalizacao!$AJ$5:$AJ$17)/B142,""))</f>
        <v>0.839974381141146</v>
      </c>
      <c r="E142" s="60" t="n">
        <f aca="false">IF(B142=0,"",IFERROR(SUMPRODUCT(Normalizacao!$AL$5:$AL$17,Pesos_Indicadores!$I$5:$I$17,((Pesos_Indicadores!$B$5:$B$17=$A$10)*A142+(Pesos_Indicadores!$B$5:$B$17&lt;&gt;$A$10)*Pesos_Indicadores!$G$5:$G$17*(1-A142)/(1-$B$10)),Normalizacao!$AK$5:$AK$17)/B142,""))</f>
        <v>0.864603167397244</v>
      </c>
      <c r="F142" s="17" t="str">
        <f aca="false">IF(C142="","",IF(INDEX(C142:E142,$B$5)&gt;=MAX(C142:E142),$B$4,INDEX(Pontuacao!$A$29:$A$31,MATCH(MAX(C142:E142),C142:E142,0))))</f>
        <v>Microsoft Azure</v>
      </c>
      <c r="G142" s="43" t="str">
        <f aca="false">IF(OR(F142="",F142=$B$4,ABS(A142-$B$10)&lt;0.000000001),"",ABS(A142-$B$10))</f>
        <v/>
      </c>
      <c r="I142" s="60" t="n">
        <f aca="false">(ROW()-17)*$B$6</f>
        <v>0.625</v>
      </c>
      <c r="J142" s="43" t="n">
        <f aca="false">IFERROR(SUMPRODUCT(Normalizacao!$AL$5:$AL$17,Pesos_Indicadores!$I$5:$I$17,((Pesos_Indicadores!$B$5:$B$17=$A$11)*I142+(Pesos_Indicadores!$B$5:$B$17&lt;&gt;$A$11)*Pesos_Indicadores!$G$5:$G$17*(1-I142)/(1-$B$11))),0)</f>
        <v>0.855769230769231</v>
      </c>
      <c r="K142" s="60" t="n">
        <f aca="false">IF(J142=0,"",IFERROR(SUMPRODUCT(Normalizacao!$AL$5:$AL$17,Pesos_Indicadores!$I$5:$I$17,((Pesos_Indicadores!$B$5:$B$17=$A$11)*I142+(Pesos_Indicadores!$B$5:$B$17&lt;&gt;$A$11)*Pesos_Indicadores!$G$5:$G$17*(1-I142)/(1-$B$11)),Normalizacao!$AI$5:$AI$17)/J142,""))</f>
        <v>0.800996805337721</v>
      </c>
      <c r="L142" s="60" t="n">
        <f aca="false">IF(J142=0,"",IFERROR(SUMPRODUCT(Normalizacao!$AL$5:$AL$17,Pesos_Indicadores!$I$5:$I$17,((Pesos_Indicadores!$B$5:$B$17=$A$11)*I142+(Pesos_Indicadores!$B$5:$B$17&lt;&gt;$A$11)*Pesos_Indicadores!$G$5:$G$17*(1-I142)/(1-$B$11)),Normalizacao!$AJ$5:$AJ$17)/J142,""))</f>
        <v>0.812231253053249</v>
      </c>
      <c r="M142" s="60" t="n">
        <f aca="false">IF(J142=0,"",IFERROR(SUMPRODUCT(Normalizacao!$AL$5:$AL$17,Pesos_Indicadores!$I$5:$I$17,((Pesos_Indicadores!$B$5:$B$17=$A$11)*I142+(Pesos_Indicadores!$B$5:$B$17&lt;&gt;$A$11)*Pesos_Indicadores!$G$5:$G$17*(1-I142)/(1-$B$11)),Normalizacao!$AK$5:$AK$17)/J142,""))</f>
        <v>0.836911496627191</v>
      </c>
      <c r="N142" s="17" t="str">
        <f aca="false">IF(K142="","",IF(INDEX(K142:M142,$B$5)&gt;=MAX(K142:M142),$B$4,INDEX(Pontuacao!$A$29:$A$31,MATCH(MAX(K142:M142),K142:M142,0))))</f>
        <v>Microsoft Azure</v>
      </c>
      <c r="O142" s="43" t="str">
        <f aca="false">IF(OR(N142="",N142=$B$4,ABS(I142-$B$11)&lt;0.000000001),"",ABS(I142-$B$11))</f>
        <v/>
      </c>
      <c r="Q142" s="60" t="n">
        <f aca="false">(ROW()-17)*$B$6</f>
        <v>0.625</v>
      </c>
      <c r="R142" s="43" t="n">
        <f aca="false">IFERROR(SUMPRODUCT(Normalizacao!$AL$5:$AL$17,Pesos_Indicadores!$I$5:$I$17,((Pesos_Indicadores!$B$5:$B$17=$A$12)*Q142+(Pesos_Indicadores!$B$5:$B$17&lt;&gt;$A$12)*Pesos_Indicadores!$G$5:$G$17*(1-Q142)/(1-$B$12))),0)</f>
        <v>0.956730769230769</v>
      </c>
      <c r="S142" s="60" t="n">
        <f aca="false">IF(R142=0,"",IFERROR(SUMPRODUCT(Normalizacao!$AL$5:$AL$17,Pesos_Indicadores!$I$5:$I$17,((Pesos_Indicadores!$B$5:$B$17=$A$12)*Q142+(Pesos_Indicadores!$B$5:$B$17&lt;&gt;$A$12)*Pesos_Indicadores!$G$5:$G$17*(1-Q142)/(1-$B$12)),Normalizacao!$AI$5:$AI$17)/R142,""))</f>
        <v>0.741895260053126</v>
      </c>
      <c r="T142" s="60" t="n">
        <f aca="false">IF(R142=0,"",IFERROR(SUMPRODUCT(Normalizacao!$AL$5:$AL$17,Pesos_Indicadores!$I$5:$I$17,((Pesos_Indicadores!$B$5:$B$17=$A$12)*Q142+(Pesos_Indicadores!$B$5:$B$17&lt;&gt;$A$12)*Pesos_Indicadores!$G$5:$G$17*(1-Q142)/(1-$B$12)),Normalizacao!$AJ$5:$AJ$17)/R142,""))</f>
        <v>0.792139774961765</v>
      </c>
      <c r="U142" s="60" t="n">
        <f aca="false">IF(R142=0,"",IFERROR(SUMPRODUCT(Normalizacao!$AL$5:$AL$17,Pesos_Indicadores!$I$5:$I$17,((Pesos_Indicadores!$B$5:$B$17=$A$12)*Q142+(Pesos_Indicadores!$B$5:$B$17&lt;&gt;$A$12)*Pesos_Indicadores!$G$5:$G$17*(1-Q142)/(1-$B$12)),Normalizacao!$AK$5:$AK$17)/R142,""))</f>
        <v>0.833959542311015</v>
      </c>
      <c r="V142" s="17" t="str">
        <f aca="false">IF(S142="","",IF(INDEX(S142:U142,$B$5)&gt;=MAX(S142:U142),$B$4,INDEX(Pontuacao!$A$29:$A$31,MATCH(MAX(S142:U142),S142:U142,0))))</f>
        <v>Microsoft Azure</v>
      </c>
      <c r="W142" s="43" t="str">
        <f aca="false">IF(OR(V142="",V142=$B$4,ABS(Q142-$B$12)&lt;0.000000001),"",ABS(Q142-$B$12))</f>
        <v/>
      </c>
    </row>
    <row r="143" customFormat="false" ht="15" hidden="false" customHeight="true" outlineLevel="0" collapsed="false">
      <c r="A143" s="60" t="n">
        <f aca="false">(ROW()-17)*$B$6</f>
        <v>0.63</v>
      </c>
      <c r="B143" s="43" t="n">
        <f aca="false">IFERROR(SUMPRODUCT(Normalizacao!$AL$5:$AL$17,Pesos_Indicadores!$I$5:$I$17,((Pesos_Indicadores!$B$5:$B$17=$A$10)*A143+(Pesos_Indicadores!$B$5:$B$17&lt;&gt;$A$10)*Pesos_Indicadores!$G$5:$G$17*(1-A143)/(1-$B$10))),0)</f>
        <v>0.991461538461539</v>
      </c>
      <c r="C143" s="60" t="n">
        <f aca="false">IF(B143=0,"",IFERROR(SUMPRODUCT(Normalizacao!$AL$5:$AL$17,Pesos_Indicadores!$I$5:$I$17,((Pesos_Indicadores!$B$5:$B$17=$A$10)*A143+(Pesos_Indicadores!$B$5:$B$17&lt;&gt;$A$10)*Pesos_Indicadores!$G$5:$G$17*(1-A143)/(1-$B$10)),Normalizacao!$AI$5:$AI$17)/B143,""))</f>
        <v>0.677713780558627</v>
      </c>
      <c r="D143" s="60" t="n">
        <f aca="false">IF(B143=0,"",IFERROR(SUMPRODUCT(Normalizacao!$AL$5:$AL$17,Pesos_Indicadores!$I$5:$I$17,((Pesos_Indicadores!$B$5:$B$17=$A$10)*A143+(Pesos_Indicadores!$B$5:$B$17&lt;&gt;$A$10)*Pesos_Indicadores!$G$5:$G$17*(1-A143)/(1-$B$10)),Normalizacao!$AJ$5:$AJ$17)/B143,""))</f>
        <v>0.840621552925143</v>
      </c>
      <c r="E143" s="60" t="n">
        <f aca="false">IF(B143=0,"",IFERROR(SUMPRODUCT(Normalizacao!$AL$5:$AL$17,Pesos_Indicadores!$I$5:$I$17,((Pesos_Indicadores!$B$5:$B$17=$A$10)*A143+(Pesos_Indicadores!$B$5:$B$17&lt;&gt;$A$10)*Pesos_Indicadores!$G$5:$G$17*(1-A143)/(1-$B$10)),Normalizacao!$AK$5:$AK$17)/B143,""))</f>
        <v>0.864990828355859</v>
      </c>
      <c r="F143" s="17" t="str">
        <f aca="false">IF(C143="","",IF(INDEX(C143:E143,$B$5)&gt;=MAX(C143:E143),$B$4,INDEX(Pontuacao!$A$29:$A$31,MATCH(MAX(C143:E143),C143:E143,0))))</f>
        <v>Microsoft Azure</v>
      </c>
      <c r="G143" s="43" t="str">
        <f aca="false">IF(OR(F143="",F143=$B$4,ABS(A143-$B$10)&lt;0.000000001),"",ABS(A143-$B$10))</f>
        <v/>
      </c>
      <c r="I143" s="60" t="n">
        <f aca="false">(ROW()-17)*$B$6</f>
        <v>0.63</v>
      </c>
      <c r="J143" s="43" t="n">
        <f aca="false">IFERROR(SUMPRODUCT(Normalizacao!$AL$5:$AL$17,Pesos_Indicadores!$I$5:$I$17,((Pesos_Indicadores!$B$5:$B$17=$A$11)*I143+(Pesos_Indicadores!$B$5:$B$17&lt;&gt;$A$11)*Pesos_Indicadores!$G$5:$G$17*(1-I143)/(1-$B$11))),0)</f>
        <v>0.854615384615385</v>
      </c>
      <c r="K143" s="60" t="n">
        <f aca="false">IF(J143=0,"",IFERROR(SUMPRODUCT(Normalizacao!$AL$5:$AL$17,Pesos_Indicadores!$I$5:$I$17,((Pesos_Indicadores!$B$5:$B$17=$A$11)*I143+(Pesos_Indicadores!$B$5:$B$17&lt;&gt;$A$11)*Pesos_Indicadores!$G$5:$G$17*(1-I143)/(1-$B$11)),Normalizacao!$AI$5:$AI$17)/J143,""))</f>
        <v>0.801584902483383</v>
      </c>
      <c r="L143" s="60" t="n">
        <f aca="false">IF(J143=0,"",IFERROR(SUMPRODUCT(Normalizacao!$AL$5:$AL$17,Pesos_Indicadores!$I$5:$I$17,((Pesos_Indicadores!$B$5:$B$17=$A$11)*I143+(Pesos_Indicadores!$B$5:$B$17&lt;&gt;$A$11)*Pesos_Indicadores!$G$5:$G$17*(1-I143)/(1-$B$11)),Normalizacao!$AJ$5:$AJ$17)/J143,""))</f>
        <v>0.812684523343639</v>
      </c>
      <c r="M143" s="60" t="n">
        <f aca="false">IF(J143=0,"",IFERROR(SUMPRODUCT(Normalizacao!$AL$5:$AL$17,Pesos_Indicadores!$I$5:$I$17,((Pesos_Indicadores!$B$5:$B$17=$A$11)*I143+(Pesos_Indicadores!$B$5:$B$17&lt;&gt;$A$11)*Pesos_Indicadores!$G$5:$G$17*(1-I143)/(1-$B$11)),Normalizacao!$AK$5:$AK$17)/J143,""))</f>
        <v>0.83706425351131</v>
      </c>
      <c r="N143" s="17" t="str">
        <f aca="false">IF(K143="","",IF(INDEX(K143:M143,$B$5)&gt;=MAX(K143:M143),$B$4,INDEX(Pontuacao!$A$29:$A$31,MATCH(MAX(K143:M143),K143:M143,0))))</f>
        <v>Microsoft Azure</v>
      </c>
      <c r="O143" s="43" t="str">
        <f aca="false">IF(OR(N143="",N143=$B$4,ABS(I143-$B$11)&lt;0.000000001),"",ABS(I143-$B$11))</f>
        <v/>
      </c>
      <c r="Q143" s="60" t="n">
        <f aca="false">(ROW()-17)*$B$6</f>
        <v>0.63</v>
      </c>
      <c r="R143" s="43" t="n">
        <f aca="false">IFERROR(SUMPRODUCT(Normalizacao!$AL$5:$AL$17,Pesos_Indicadores!$I$5:$I$17,((Pesos_Indicadores!$B$5:$B$17=$A$12)*Q143+(Pesos_Indicadores!$B$5:$B$17&lt;&gt;$A$12)*Pesos_Indicadores!$G$5:$G$17*(1-Q143)/(1-$B$12))),0)</f>
        <v>0.957307692307692</v>
      </c>
      <c r="S143" s="60" t="n">
        <f aca="false">IF(R143=0,"",IFERROR(SUMPRODUCT(Normalizacao!$AL$5:$AL$17,Pesos_Indicadores!$I$5:$I$17,((Pesos_Indicadores!$B$5:$B$17=$A$12)*Q143+(Pesos_Indicadores!$B$5:$B$17&lt;&gt;$A$12)*Pesos_Indicadores!$G$5:$G$17*(1-Q143)/(1-$B$12)),Normalizacao!$AI$5:$AI$17)/R143,""))</f>
        <v>0.742008142462993</v>
      </c>
      <c r="T143" s="60" t="n">
        <f aca="false">IF(R143=0,"",IFERROR(SUMPRODUCT(Normalizacao!$AL$5:$AL$17,Pesos_Indicadores!$I$5:$I$17,((Pesos_Indicadores!$B$5:$B$17=$A$12)*Q143+(Pesos_Indicadores!$B$5:$B$17&lt;&gt;$A$12)*Pesos_Indicadores!$G$5:$G$17*(1-Q143)/(1-$B$12)),Normalizacao!$AJ$5:$AJ$17)/R143,""))</f>
        <v>0.791552854298042</v>
      </c>
      <c r="U143" s="60" t="n">
        <f aca="false">IF(R143=0,"",IFERROR(SUMPRODUCT(Normalizacao!$AL$5:$AL$17,Pesos_Indicadores!$I$5:$I$17,((Pesos_Indicadores!$B$5:$B$17=$A$12)*Q143+(Pesos_Indicadores!$B$5:$B$17&lt;&gt;$A$12)*Pesos_Indicadores!$G$5:$G$17*(1-Q143)/(1-$B$12)),Normalizacao!$AK$5:$AK$17)/R143,""))</f>
        <v>0.8336606548863</v>
      </c>
      <c r="V143" s="17" t="str">
        <f aca="false">IF(S143="","",IF(INDEX(S143:U143,$B$5)&gt;=MAX(S143:U143),$B$4,INDEX(Pontuacao!$A$29:$A$31,MATCH(MAX(S143:U143),S143:U143,0))))</f>
        <v>Microsoft Azure</v>
      </c>
      <c r="W143" s="43" t="str">
        <f aca="false">IF(OR(V143="",V143=$B$4,ABS(Q143-$B$12)&lt;0.000000001),"",ABS(Q143-$B$12))</f>
        <v/>
      </c>
    </row>
    <row r="144" customFormat="false" ht="15" hidden="false" customHeight="true" outlineLevel="0" collapsed="false">
      <c r="A144" s="60" t="n">
        <f aca="false">(ROW()-17)*$B$6</f>
        <v>0.635</v>
      </c>
      <c r="B144" s="43" t="n">
        <f aca="false">IFERROR(SUMPRODUCT(Normalizacao!$AL$5:$AL$17,Pesos_Indicadores!$I$5:$I$17,((Pesos_Indicadores!$B$5:$B$17=$A$10)*A144+(Pesos_Indicadores!$B$5:$B$17&lt;&gt;$A$10)*Pesos_Indicadores!$G$5:$G$17*(1-A144)/(1-$B$10))),0)</f>
        <v>0.991576923076923</v>
      </c>
      <c r="C144" s="60" t="n">
        <f aca="false">IF(B144=0,"",IFERROR(SUMPRODUCT(Normalizacao!$AL$5:$AL$17,Pesos_Indicadores!$I$5:$I$17,((Pesos_Indicadores!$B$5:$B$17=$A$10)*A144+(Pesos_Indicadores!$B$5:$B$17&lt;&gt;$A$10)*Pesos_Indicadores!$G$5:$G$17*(1-A144)/(1-$B$10)),Normalizacao!$AI$5:$AI$17)/B144,""))</f>
        <v>0.677086990073136</v>
      </c>
      <c r="D144" s="60" t="n">
        <f aca="false">IF(B144=0,"",IFERROR(SUMPRODUCT(Normalizacao!$AL$5:$AL$17,Pesos_Indicadores!$I$5:$I$17,((Pesos_Indicadores!$B$5:$B$17=$A$10)*A144+(Pesos_Indicadores!$B$5:$B$17&lt;&gt;$A$10)*Pesos_Indicadores!$G$5:$G$17*(1-A144)/(1-$B$10)),Normalizacao!$AJ$5:$AJ$17)/B144,""))</f>
        <v>0.841268574093156</v>
      </c>
      <c r="E144" s="60" t="n">
        <f aca="false">IF(B144=0,"",IFERROR(SUMPRODUCT(Normalizacao!$AL$5:$AL$17,Pesos_Indicadores!$I$5:$I$17,((Pesos_Indicadores!$B$5:$B$17=$A$10)*A144+(Pesos_Indicadores!$B$5:$B$17&lt;&gt;$A$10)*Pesos_Indicadores!$G$5:$G$17*(1-A144)/(1-$B$10)),Normalizacao!$AK$5:$AK$17)/B144,""))</f>
        <v>0.865378399094322</v>
      </c>
      <c r="F144" s="17" t="str">
        <f aca="false">IF(C144="","",IF(INDEX(C144:E144,$B$5)&gt;=MAX(C144:E144),$B$4,INDEX(Pontuacao!$A$29:$A$31,MATCH(MAX(C144:E144),C144:E144,0))))</f>
        <v>Microsoft Azure</v>
      </c>
      <c r="G144" s="43" t="str">
        <f aca="false">IF(OR(F144="",F144=$B$4,ABS(A144-$B$10)&lt;0.000000001),"",ABS(A144-$B$10))</f>
        <v/>
      </c>
      <c r="I144" s="60" t="n">
        <f aca="false">(ROW()-17)*$B$6</f>
        <v>0.635</v>
      </c>
      <c r="J144" s="43" t="n">
        <f aca="false">IFERROR(SUMPRODUCT(Normalizacao!$AL$5:$AL$17,Pesos_Indicadores!$I$5:$I$17,((Pesos_Indicadores!$B$5:$B$17=$A$11)*I144+(Pesos_Indicadores!$B$5:$B$17&lt;&gt;$A$11)*Pesos_Indicadores!$G$5:$G$17*(1-I144)/(1-$B$11))),0)</f>
        <v>0.853461538461539</v>
      </c>
      <c r="K144" s="60" t="n">
        <f aca="false">IF(J144=0,"",IFERROR(SUMPRODUCT(Normalizacao!$AL$5:$AL$17,Pesos_Indicadores!$I$5:$I$17,((Pesos_Indicadores!$B$5:$B$17=$A$11)*I144+(Pesos_Indicadores!$B$5:$B$17&lt;&gt;$A$11)*Pesos_Indicadores!$G$5:$G$17*(1-I144)/(1-$B$11)),Normalizacao!$AI$5:$AI$17)/J144,""))</f>
        <v>0.802174589797082</v>
      </c>
      <c r="L144" s="60" t="n">
        <f aca="false">IF(J144=0,"",IFERROR(SUMPRODUCT(Normalizacao!$AL$5:$AL$17,Pesos_Indicadores!$I$5:$I$17,((Pesos_Indicadores!$B$5:$B$17=$A$11)*I144+(Pesos_Indicadores!$B$5:$B$17&lt;&gt;$A$11)*Pesos_Indicadores!$G$5:$G$17*(1-I144)/(1-$B$11)),Normalizacao!$AJ$5:$AJ$17)/J144,""))</f>
        <v>0.813139019240943</v>
      </c>
      <c r="M144" s="60" t="n">
        <f aca="false">IF(J144=0,"",IFERROR(SUMPRODUCT(Normalizacao!$AL$5:$AL$17,Pesos_Indicadores!$I$5:$I$17,((Pesos_Indicadores!$B$5:$B$17=$A$11)*I144+(Pesos_Indicadores!$B$5:$B$17&lt;&gt;$A$11)*Pesos_Indicadores!$G$5:$G$17*(1-I144)/(1-$B$11)),Normalizacao!$AK$5:$AK$17)/J144,""))</f>
        <v>0.837217423437927</v>
      </c>
      <c r="N144" s="17" t="str">
        <f aca="false">IF(K144="","",IF(INDEX(K144:M144,$B$5)&gt;=MAX(K144:M144),$B$4,INDEX(Pontuacao!$A$29:$A$31,MATCH(MAX(K144:M144),K144:M144,0))))</f>
        <v>Microsoft Azure</v>
      </c>
      <c r="O144" s="43" t="str">
        <f aca="false">IF(OR(N144="",N144=$B$4,ABS(I144-$B$11)&lt;0.000000001),"",ABS(I144-$B$11))</f>
        <v/>
      </c>
      <c r="Q144" s="60" t="n">
        <f aca="false">(ROW()-17)*$B$6</f>
        <v>0.635</v>
      </c>
      <c r="R144" s="43" t="n">
        <f aca="false">IFERROR(SUMPRODUCT(Normalizacao!$AL$5:$AL$17,Pesos_Indicadores!$I$5:$I$17,((Pesos_Indicadores!$B$5:$B$17=$A$12)*Q144+(Pesos_Indicadores!$B$5:$B$17&lt;&gt;$A$12)*Pesos_Indicadores!$G$5:$G$17*(1-Q144)/(1-$B$12))),0)</f>
        <v>0.957884615384615</v>
      </c>
      <c r="S144" s="60" t="n">
        <f aca="false">IF(R144=0,"",IFERROR(SUMPRODUCT(Normalizacao!$AL$5:$AL$17,Pesos_Indicadores!$I$5:$I$17,((Pesos_Indicadores!$B$5:$B$17=$A$12)*Q144+(Pesos_Indicadores!$B$5:$B$17&lt;&gt;$A$12)*Pesos_Indicadores!$G$5:$G$17*(1-Q144)/(1-$B$12)),Normalizacao!$AI$5:$AI$17)/R144,""))</f>
        <v>0.742120888897261</v>
      </c>
      <c r="T144" s="60" t="n">
        <f aca="false">IF(R144=0,"",IFERROR(SUMPRODUCT(Normalizacao!$AL$5:$AL$17,Pesos_Indicadores!$I$5:$I$17,((Pesos_Indicadores!$B$5:$B$17=$A$12)*Q144+(Pesos_Indicadores!$B$5:$B$17&lt;&gt;$A$12)*Pesos_Indicadores!$G$5:$G$17*(1-Q144)/(1-$B$12)),Normalizacao!$AJ$5:$AJ$17)/R144,""))</f>
        <v>0.790966640625682</v>
      </c>
      <c r="U144" s="60" t="n">
        <f aca="false">IF(R144=0,"",IFERROR(SUMPRODUCT(Normalizacao!$AL$5:$AL$17,Pesos_Indicadores!$I$5:$I$17,((Pesos_Indicadores!$B$5:$B$17=$A$12)*Q144+(Pesos_Indicadores!$B$5:$B$17&lt;&gt;$A$12)*Pesos_Indicadores!$G$5:$G$17*(1-Q144)/(1-$B$12)),Normalizacao!$AK$5:$AK$17)/R144,""))</f>
        <v>0.833362127494621</v>
      </c>
      <c r="V144" s="17" t="str">
        <f aca="false">IF(S144="","",IF(INDEX(S144:U144,$B$5)&gt;=MAX(S144:U144),$B$4,INDEX(Pontuacao!$A$29:$A$31,MATCH(MAX(S144:U144),S144:U144,0))))</f>
        <v>Microsoft Azure</v>
      </c>
      <c r="W144" s="43" t="str">
        <f aca="false">IF(OR(V144="",V144=$B$4,ABS(Q144-$B$12)&lt;0.000000001),"",ABS(Q144-$B$12))</f>
        <v/>
      </c>
    </row>
    <row r="145" customFormat="false" ht="15" hidden="false" customHeight="true" outlineLevel="0" collapsed="false">
      <c r="A145" s="60" t="n">
        <f aca="false">(ROW()-17)*$B$6</f>
        <v>0.64</v>
      </c>
      <c r="B145" s="43" t="n">
        <f aca="false">IFERROR(SUMPRODUCT(Normalizacao!$AL$5:$AL$17,Pesos_Indicadores!$I$5:$I$17,((Pesos_Indicadores!$B$5:$B$17=$A$10)*A145+(Pesos_Indicadores!$B$5:$B$17&lt;&gt;$A$10)*Pesos_Indicadores!$G$5:$G$17*(1-A145)/(1-$B$10))),0)</f>
        <v>0.991692307692308</v>
      </c>
      <c r="C145" s="60" t="n">
        <f aca="false">IF(B145=0,"",IFERROR(SUMPRODUCT(Normalizacao!$AL$5:$AL$17,Pesos_Indicadores!$I$5:$I$17,((Pesos_Indicadores!$B$5:$B$17=$A$10)*A145+(Pesos_Indicadores!$B$5:$B$17&lt;&gt;$A$10)*Pesos_Indicadores!$G$5:$G$17*(1-A145)/(1-$B$10)),Normalizacao!$AI$5:$AI$17)/B145,""))</f>
        <v>0.676460345443327</v>
      </c>
      <c r="D145" s="60" t="n">
        <f aca="false">IF(B145=0,"",IFERROR(SUMPRODUCT(Normalizacao!$AL$5:$AL$17,Pesos_Indicadores!$I$5:$I$17,((Pesos_Indicadores!$B$5:$B$17=$A$10)*A145+(Pesos_Indicadores!$B$5:$B$17&lt;&gt;$A$10)*Pesos_Indicadores!$G$5:$G$17*(1-A145)/(1-$B$10)),Normalizacao!$AJ$5:$AJ$17)/B145,""))</f>
        <v>0.841915444697757</v>
      </c>
      <c r="E145" s="60" t="n">
        <f aca="false">IF(B145=0,"",IFERROR(SUMPRODUCT(Normalizacao!$AL$5:$AL$17,Pesos_Indicadores!$I$5:$I$17,((Pesos_Indicadores!$B$5:$B$17=$A$10)*A145+(Pesos_Indicadores!$B$5:$B$17&lt;&gt;$A$10)*Pesos_Indicadores!$G$5:$G$17*(1-A145)/(1-$B$10)),Normalizacao!$AK$5:$AK$17)/B145,""))</f>
        <v>0.865765879644123</v>
      </c>
      <c r="F145" s="17" t="str">
        <f aca="false">IF(C145="","",IF(INDEX(C145:E145,$B$5)&gt;=MAX(C145:E145),$B$4,INDEX(Pontuacao!$A$29:$A$31,MATCH(MAX(C145:E145),C145:E145,0))))</f>
        <v>Microsoft Azure</v>
      </c>
      <c r="G145" s="43" t="str">
        <f aca="false">IF(OR(F145="",F145=$B$4,ABS(A145-$B$10)&lt;0.000000001),"",ABS(A145-$B$10))</f>
        <v/>
      </c>
      <c r="I145" s="60" t="n">
        <f aca="false">(ROW()-17)*$B$6</f>
        <v>0.64</v>
      </c>
      <c r="J145" s="43" t="n">
        <f aca="false">IFERROR(SUMPRODUCT(Normalizacao!$AL$5:$AL$17,Pesos_Indicadores!$I$5:$I$17,((Pesos_Indicadores!$B$5:$B$17=$A$11)*I145+(Pesos_Indicadores!$B$5:$B$17&lt;&gt;$A$11)*Pesos_Indicadores!$G$5:$G$17*(1-I145)/(1-$B$11))),0)</f>
        <v>0.852307692307692</v>
      </c>
      <c r="K145" s="60" t="n">
        <f aca="false">IF(J145=0,"",IFERROR(SUMPRODUCT(Normalizacao!$AL$5:$AL$17,Pesos_Indicadores!$I$5:$I$17,((Pesos_Indicadores!$B$5:$B$17=$A$11)*I145+(Pesos_Indicadores!$B$5:$B$17&lt;&gt;$A$11)*Pesos_Indicadores!$G$5:$G$17*(1-I145)/(1-$B$11)),Normalizacao!$AI$5:$AI$17)/J145,""))</f>
        <v>0.802765873737082</v>
      </c>
      <c r="L145" s="60" t="n">
        <f aca="false">IF(J145=0,"",IFERROR(SUMPRODUCT(Normalizacao!$AL$5:$AL$17,Pesos_Indicadores!$I$5:$I$17,((Pesos_Indicadores!$B$5:$B$17=$A$11)*I145+(Pesos_Indicadores!$B$5:$B$17&lt;&gt;$A$11)*Pesos_Indicadores!$G$5:$G$17*(1-I145)/(1-$B$11)),Normalizacao!$AJ$5:$AJ$17)/J145,""))</f>
        <v>0.813594745722807</v>
      </c>
      <c r="M145" s="60" t="n">
        <f aca="false">IF(J145=0,"",IFERROR(SUMPRODUCT(Normalizacao!$AL$5:$AL$17,Pesos_Indicadores!$I$5:$I$17,((Pesos_Indicadores!$B$5:$B$17=$A$11)*I145+(Pesos_Indicadores!$B$5:$B$17&lt;&gt;$A$11)*Pesos_Indicadores!$G$5:$G$17*(1-I145)/(1-$B$11)),Normalizacao!$AK$5:$AK$17)/J145,""))</f>
        <v>0.837371008084563</v>
      </c>
      <c r="N145" s="17" t="str">
        <f aca="false">IF(K145="","",IF(INDEX(K145:M145,$B$5)&gt;=MAX(K145:M145),$B$4,INDEX(Pontuacao!$A$29:$A$31,MATCH(MAX(K145:M145),K145:M145,0))))</f>
        <v>Microsoft Azure</v>
      </c>
      <c r="O145" s="43" t="str">
        <f aca="false">IF(OR(N145="",N145=$B$4,ABS(I145-$B$11)&lt;0.000000001),"",ABS(I145-$B$11))</f>
        <v/>
      </c>
      <c r="Q145" s="60" t="n">
        <f aca="false">(ROW()-17)*$B$6</f>
        <v>0.64</v>
      </c>
      <c r="R145" s="43" t="n">
        <f aca="false">IFERROR(SUMPRODUCT(Normalizacao!$AL$5:$AL$17,Pesos_Indicadores!$I$5:$I$17,((Pesos_Indicadores!$B$5:$B$17=$A$12)*Q145+(Pesos_Indicadores!$B$5:$B$17&lt;&gt;$A$12)*Pesos_Indicadores!$G$5:$G$17*(1-Q145)/(1-$B$12))),0)</f>
        <v>0.958461538461539</v>
      </c>
      <c r="S145" s="60" t="n">
        <f aca="false">IF(R145=0,"",IFERROR(SUMPRODUCT(Normalizacao!$AL$5:$AL$17,Pesos_Indicadores!$I$5:$I$17,((Pesos_Indicadores!$B$5:$B$17=$A$12)*Q145+(Pesos_Indicadores!$B$5:$B$17&lt;&gt;$A$12)*Pesos_Indicadores!$G$5:$G$17*(1-Q145)/(1-$B$12)),Normalizacao!$AI$5:$AI$17)/R145,""))</f>
        <v>0.742233499601471</v>
      </c>
      <c r="T145" s="60" t="n">
        <f aca="false">IF(R145=0,"",IFERROR(SUMPRODUCT(Normalizacao!$AL$5:$AL$17,Pesos_Indicadores!$I$5:$I$17,((Pesos_Indicadores!$B$5:$B$17=$A$12)*Q145+(Pesos_Indicadores!$B$5:$B$17&lt;&gt;$A$12)*Pesos_Indicadores!$G$5:$G$17*(1-Q145)/(1-$B$12)),Normalizacao!$AJ$5:$AJ$17)/R145,""))</f>
        <v>0.790381132668016</v>
      </c>
      <c r="U145" s="60" t="n">
        <f aca="false">IF(R145=0,"",IFERROR(SUMPRODUCT(Normalizacao!$AL$5:$AL$17,Pesos_Indicadores!$I$5:$I$17,((Pesos_Indicadores!$B$5:$B$17=$A$12)*Q145+(Pesos_Indicadores!$B$5:$B$17&lt;&gt;$A$12)*Pesos_Indicadores!$G$5:$G$17*(1-Q145)/(1-$B$12)),Normalizacao!$AK$5:$AK$17)/R145,""))</f>
        <v>0.833063959485836</v>
      </c>
      <c r="V145" s="17" t="str">
        <f aca="false">IF(S145="","",IF(INDEX(S145:U145,$B$5)&gt;=MAX(S145:U145),$B$4,INDEX(Pontuacao!$A$29:$A$31,MATCH(MAX(S145:U145),S145:U145,0))))</f>
        <v>Microsoft Azure</v>
      </c>
      <c r="W145" s="43" t="str">
        <f aca="false">IF(OR(V145="",V145=$B$4,ABS(Q145-$B$12)&lt;0.000000001),"",ABS(Q145-$B$12))</f>
        <v/>
      </c>
    </row>
    <row r="146" customFormat="false" ht="15" hidden="false" customHeight="true" outlineLevel="0" collapsed="false">
      <c r="A146" s="60" t="n">
        <f aca="false">(ROW()-17)*$B$6</f>
        <v>0.645</v>
      </c>
      <c r="B146" s="43" t="n">
        <f aca="false">IFERROR(SUMPRODUCT(Normalizacao!$AL$5:$AL$17,Pesos_Indicadores!$I$5:$I$17,((Pesos_Indicadores!$B$5:$B$17=$A$10)*A146+(Pesos_Indicadores!$B$5:$B$17&lt;&gt;$A$10)*Pesos_Indicadores!$G$5:$G$17*(1-A146)/(1-$B$10))),0)</f>
        <v>0.991807692307692</v>
      </c>
      <c r="C146" s="60" t="n">
        <f aca="false">IF(B146=0,"",IFERROR(SUMPRODUCT(Normalizacao!$AL$5:$AL$17,Pesos_Indicadores!$I$5:$I$17,((Pesos_Indicadores!$B$5:$B$17=$A$10)*A146+(Pesos_Indicadores!$B$5:$B$17&lt;&gt;$A$10)*Pesos_Indicadores!$G$5:$G$17*(1-A146)/(1-$B$10)),Normalizacao!$AI$5:$AI$17)/B146,""))</f>
        <v>0.675833846618296</v>
      </c>
      <c r="D146" s="60" t="n">
        <f aca="false">IF(B146=0,"",IFERROR(SUMPRODUCT(Normalizacao!$AL$5:$AL$17,Pesos_Indicadores!$I$5:$I$17,((Pesos_Indicadores!$B$5:$B$17=$A$10)*A146+(Pesos_Indicadores!$B$5:$B$17&lt;&gt;$A$10)*Pesos_Indicadores!$G$5:$G$17*(1-A146)/(1-$B$10)),Normalizacao!$AJ$5:$AJ$17)/B146,""))</f>
        <v>0.842562164791494</v>
      </c>
      <c r="E146" s="60" t="n">
        <f aca="false">IF(B146=0,"",IFERROR(SUMPRODUCT(Normalizacao!$AL$5:$AL$17,Pesos_Indicadores!$I$5:$I$17,((Pesos_Indicadores!$B$5:$B$17=$A$10)*A146+(Pesos_Indicadores!$B$5:$B$17&lt;&gt;$A$10)*Pesos_Indicadores!$G$5:$G$17*(1-A146)/(1-$B$10)),Normalizacao!$AK$5:$AK$17)/B146,""))</f>
        <v>0.866153270036741</v>
      </c>
      <c r="F146" s="17" t="str">
        <f aca="false">IF(C146="","",IF(INDEX(C146:E146,$B$5)&gt;=MAX(C146:E146),$B$4,INDEX(Pontuacao!$A$29:$A$31,MATCH(MAX(C146:E146),C146:E146,0))))</f>
        <v>Microsoft Azure</v>
      </c>
      <c r="G146" s="43" t="str">
        <f aca="false">IF(OR(F146="",F146=$B$4,ABS(A146-$B$10)&lt;0.000000001),"",ABS(A146-$B$10))</f>
        <v/>
      </c>
      <c r="I146" s="60" t="n">
        <f aca="false">(ROW()-17)*$B$6</f>
        <v>0.645</v>
      </c>
      <c r="J146" s="43" t="n">
        <f aca="false">IFERROR(SUMPRODUCT(Normalizacao!$AL$5:$AL$17,Pesos_Indicadores!$I$5:$I$17,((Pesos_Indicadores!$B$5:$B$17=$A$11)*I146+(Pesos_Indicadores!$B$5:$B$17&lt;&gt;$A$11)*Pesos_Indicadores!$G$5:$G$17*(1-I146)/(1-$B$11))),0)</f>
        <v>0.851153846153846</v>
      </c>
      <c r="K146" s="60" t="n">
        <f aca="false">IF(J146=0,"",IFERROR(SUMPRODUCT(Normalizacao!$AL$5:$AL$17,Pesos_Indicadores!$I$5:$I$17,((Pesos_Indicadores!$B$5:$B$17=$A$11)*I146+(Pesos_Indicadores!$B$5:$B$17&lt;&gt;$A$11)*Pesos_Indicadores!$G$5:$G$17*(1-I146)/(1-$B$11)),Normalizacao!$AI$5:$AI$17)/J146,""))</f>
        <v>0.803358760796665</v>
      </c>
      <c r="L146" s="60" t="n">
        <f aca="false">IF(J146=0,"",IFERROR(SUMPRODUCT(Normalizacao!$AL$5:$AL$17,Pesos_Indicadores!$I$5:$I$17,((Pesos_Indicadores!$B$5:$B$17=$A$11)*I146+(Pesos_Indicadores!$B$5:$B$17&lt;&gt;$A$11)*Pesos_Indicadores!$G$5:$G$17*(1-I146)/(1-$B$11)),Normalizacao!$AJ$5:$AJ$17)/J146,""))</f>
        <v>0.814051707793866</v>
      </c>
      <c r="M146" s="60" t="n">
        <f aca="false">IF(J146=0,"",IFERROR(SUMPRODUCT(Normalizacao!$AL$5:$AL$17,Pesos_Indicadores!$I$5:$I$17,((Pesos_Indicadores!$B$5:$B$17=$A$11)*I146+(Pesos_Indicadores!$B$5:$B$17&lt;&gt;$A$11)*Pesos_Indicadores!$G$5:$G$17*(1-I146)/(1-$B$11)),Normalizacao!$AK$5:$AK$17)/J146,""))</f>
        <v>0.837525009137832</v>
      </c>
      <c r="N146" s="17" t="str">
        <f aca="false">IF(K146="","",IF(INDEX(K146:M146,$B$5)&gt;=MAX(K146:M146),$B$4,INDEX(Pontuacao!$A$29:$A$31,MATCH(MAX(K146:M146),K146:M146,0))))</f>
        <v>Microsoft Azure</v>
      </c>
      <c r="O146" s="43" t="str">
        <f aca="false">IF(OR(N146="",N146=$B$4,ABS(I146-$B$11)&lt;0.000000001),"",ABS(I146-$B$11))</f>
        <v/>
      </c>
      <c r="Q146" s="60" t="n">
        <f aca="false">(ROW()-17)*$B$6</f>
        <v>0.645</v>
      </c>
      <c r="R146" s="43" t="n">
        <f aca="false">IFERROR(SUMPRODUCT(Normalizacao!$AL$5:$AL$17,Pesos_Indicadores!$I$5:$I$17,((Pesos_Indicadores!$B$5:$B$17=$A$12)*Q146+(Pesos_Indicadores!$B$5:$B$17&lt;&gt;$A$12)*Pesos_Indicadores!$G$5:$G$17*(1-Q146)/(1-$B$12))),0)</f>
        <v>0.959038461538462</v>
      </c>
      <c r="S146" s="60" t="n">
        <f aca="false">IF(R146=0,"",IFERROR(SUMPRODUCT(Normalizacao!$AL$5:$AL$17,Pesos_Indicadores!$I$5:$I$17,((Pesos_Indicadores!$B$5:$B$17=$A$12)*Q146+(Pesos_Indicadores!$B$5:$B$17&lt;&gt;$A$12)*Pesos_Indicadores!$G$5:$G$17*(1-Q146)/(1-$B$12)),Normalizacao!$AI$5:$AI$17)/R146,""))</f>
        <v>0.742345974820575</v>
      </c>
      <c r="T146" s="60" t="n">
        <f aca="false">IF(R146=0,"",IFERROR(SUMPRODUCT(Normalizacao!$AL$5:$AL$17,Pesos_Indicadores!$I$5:$I$17,((Pesos_Indicadores!$B$5:$B$17=$A$12)*Q146+(Pesos_Indicadores!$B$5:$B$17&lt;&gt;$A$12)*Pesos_Indicadores!$G$5:$G$17*(1-Q146)/(1-$B$12)),Normalizacao!$AJ$5:$AJ$17)/R146,""))</f>
        <v>0.789796329151446</v>
      </c>
      <c r="U146" s="60" t="n">
        <f aca="false">IF(R146=0,"",IFERROR(SUMPRODUCT(Normalizacao!$AL$5:$AL$17,Pesos_Indicadores!$I$5:$I$17,((Pesos_Indicadores!$B$5:$B$17=$A$12)*Q146+(Pesos_Indicadores!$B$5:$B$17&lt;&gt;$A$12)*Pesos_Indicadores!$G$5:$G$17*(1-Q146)/(1-$B$12)),Normalizacao!$AK$5:$AK$17)/R146,""))</f>
        <v>0.832766150211372</v>
      </c>
      <c r="V146" s="17" t="str">
        <f aca="false">IF(S146="","",IF(INDEX(S146:U146,$B$5)&gt;=MAX(S146:U146),$B$4,INDEX(Pontuacao!$A$29:$A$31,MATCH(MAX(S146:U146),S146:U146,0))))</f>
        <v>Microsoft Azure</v>
      </c>
      <c r="W146" s="43" t="str">
        <f aca="false">IF(OR(V146="",V146=$B$4,ABS(Q146-$B$12)&lt;0.000000001),"",ABS(Q146-$B$12))</f>
        <v/>
      </c>
    </row>
    <row r="147" customFormat="false" ht="15" hidden="false" customHeight="true" outlineLevel="0" collapsed="false">
      <c r="A147" s="60" t="n">
        <f aca="false">(ROW()-17)*$B$6</f>
        <v>0.65</v>
      </c>
      <c r="B147" s="43" t="n">
        <f aca="false">IFERROR(SUMPRODUCT(Normalizacao!$AL$5:$AL$17,Pesos_Indicadores!$I$5:$I$17,((Pesos_Indicadores!$B$5:$B$17=$A$10)*A147+(Pesos_Indicadores!$B$5:$B$17&lt;&gt;$A$10)*Pesos_Indicadores!$G$5:$G$17*(1-A147)/(1-$B$10))),0)</f>
        <v>0.991923076923077</v>
      </c>
      <c r="C147" s="60" t="n">
        <f aca="false">IF(B147=0,"",IFERROR(SUMPRODUCT(Normalizacao!$AL$5:$AL$17,Pesos_Indicadores!$I$5:$I$17,((Pesos_Indicadores!$B$5:$B$17=$A$10)*A147+(Pesos_Indicadores!$B$5:$B$17&lt;&gt;$A$10)*Pesos_Indicadores!$G$5:$G$17*(1-A147)/(1-$B$10)),Normalizacao!$AI$5:$AI$17)/B147,""))</f>
        <v>0.675207493547159</v>
      </c>
      <c r="D147" s="60" t="n">
        <f aca="false">IF(B147=0,"",IFERROR(SUMPRODUCT(Normalizacao!$AL$5:$AL$17,Pesos_Indicadores!$I$5:$I$17,((Pesos_Indicadores!$B$5:$B$17=$A$10)*A147+(Pesos_Indicadores!$B$5:$B$17&lt;&gt;$A$10)*Pesos_Indicadores!$G$5:$G$17*(1-A147)/(1-$B$10)),Normalizacao!$AJ$5:$AJ$17)/B147,""))</f>
        <v>0.843208734426893</v>
      </c>
      <c r="E147" s="60" t="n">
        <f aca="false">IF(B147=0,"",IFERROR(SUMPRODUCT(Normalizacao!$AL$5:$AL$17,Pesos_Indicadores!$I$5:$I$17,((Pesos_Indicadores!$B$5:$B$17=$A$10)*A147+(Pesos_Indicadores!$B$5:$B$17&lt;&gt;$A$10)*Pesos_Indicadores!$G$5:$G$17*(1-A147)/(1-$B$10)),Normalizacao!$AK$5:$AK$17)/B147,""))</f>
        <v>0.866540570303638</v>
      </c>
      <c r="F147" s="17" t="str">
        <f aca="false">IF(C147="","",IF(INDEX(C147:E147,$B$5)&gt;=MAX(C147:E147),$B$4,INDEX(Pontuacao!$A$29:$A$31,MATCH(MAX(C147:E147),C147:E147,0))))</f>
        <v>Microsoft Azure</v>
      </c>
      <c r="G147" s="43" t="str">
        <f aca="false">IF(OR(F147="",F147=$B$4,ABS(A147-$B$10)&lt;0.000000001),"",ABS(A147-$B$10))</f>
        <v/>
      </c>
      <c r="I147" s="60" t="n">
        <f aca="false">(ROW()-17)*$B$6</f>
        <v>0.65</v>
      </c>
      <c r="J147" s="43" t="n">
        <f aca="false">IFERROR(SUMPRODUCT(Normalizacao!$AL$5:$AL$17,Pesos_Indicadores!$I$5:$I$17,((Pesos_Indicadores!$B$5:$B$17=$A$11)*I147+(Pesos_Indicadores!$B$5:$B$17&lt;&gt;$A$11)*Pesos_Indicadores!$G$5:$G$17*(1-I147)/(1-$B$11))),0)</f>
        <v>0.85</v>
      </c>
      <c r="K147" s="60" t="n">
        <f aca="false">IF(J147=0,"",IFERROR(SUMPRODUCT(Normalizacao!$AL$5:$AL$17,Pesos_Indicadores!$I$5:$I$17,((Pesos_Indicadores!$B$5:$B$17=$A$11)*I147+(Pesos_Indicadores!$B$5:$B$17&lt;&gt;$A$11)*Pesos_Indicadores!$G$5:$G$17*(1-I147)/(1-$B$11)),Normalizacao!$AI$5:$AI$17)/J147,""))</f>
        <v>0.803953257504375</v>
      </c>
      <c r="L147" s="60" t="n">
        <f aca="false">IF(J147=0,"",IFERROR(SUMPRODUCT(Normalizacao!$AL$5:$AL$17,Pesos_Indicadores!$I$5:$I$17,((Pesos_Indicadores!$B$5:$B$17=$A$11)*I147+(Pesos_Indicadores!$B$5:$B$17&lt;&gt;$A$11)*Pesos_Indicadores!$G$5:$G$17*(1-I147)/(1-$B$11)),Normalizacao!$AJ$5:$AJ$17)/J147,""))</f>
        <v>0.814509910485934</v>
      </c>
      <c r="M147" s="60" t="n">
        <f aca="false">IF(J147=0,"",IFERROR(SUMPRODUCT(Normalizacao!$AL$5:$AL$17,Pesos_Indicadores!$I$5:$I$17,((Pesos_Indicadores!$B$5:$B$17=$A$11)*I147+(Pesos_Indicadores!$B$5:$B$17&lt;&gt;$A$11)*Pesos_Indicadores!$G$5:$G$17*(1-I147)/(1-$B$11)),Normalizacao!$AK$5:$AK$17)/J147,""))</f>
        <v>0.837679428293508</v>
      </c>
      <c r="N147" s="17" t="str">
        <f aca="false">IF(K147="","",IF(INDEX(K147:M147,$B$5)&gt;=MAX(K147:M147),$B$4,INDEX(Pontuacao!$A$29:$A$31,MATCH(MAX(K147:M147),K147:M147,0))))</f>
        <v>Microsoft Azure</v>
      </c>
      <c r="O147" s="43" t="str">
        <f aca="false">IF(OR(N147="",N147=$B$4,ABS(I147-$B$11)&lt;0.000000001),"",ABS(I147-$B$11))</f>
        <v/>
      </c>
      <c r="Q147" s="60" t="n">
        <f aca="false">(ROW()-17)*$B$6</f>
        <v>0.65</v>
      </c>
      <c r="R147" s="43" t="n">
        <f aca="false">IFERROR(SUMPRODUCT(Normalizacao!$AL$5:$AL$17,Pesos_Indicadores!$I$5:$I$17,((Pesos_Indicadores!$B$5:$B$17=$A$12)*Q147+(Pesos_Indicadores!$B$5:$B$17&lt;&gt;$A$12)*Pesos_Indicadores!$G$5:$G$17*(1-Q147)/(1-$B$12))),0)</f>
        <v>0.959615384615385</v>
      </c>
      <c r="S147" s="60" t="n">
        <f aca="false">IF(R147=0,"",IFERROR(SUMPRODUCT(Normalizacao!$AL$5:$AL$17,Pesos_Indicadores!$I$5:$I$17,((Pesos_Indicadores!$B$5:$B$17=$A$12)*Q147+(Pesos_Indicadores!$B$5:$B$17&lt;&gt;$A$12)*Pesos_Indicadores!$G$5:$G$17*(1-Q147)/(1-$B$12)),Normalizacao!$AI$5:$AI$17)/R147,""))</f>
        <v>0.742458314798934</v>
      </c>
      <c r="T147" s="60" t="n">
        <f aca="false">IF(R147=0,"",IFERROR(SUMPRODUCT(Normalizacao!$AL$5:$AL$17,Pesos_Indicadores!$I$5:$I$17,((Pesos_Indicadores!$B$5:$B$17=$A$12)*Q147+(Pesos_Indicadores!$B$5:$B$17&lt;&gt;$A$12)*Pesos_Indicadores!$G$5:$G$17*(1-Q147)/(1-$B$12)),Normalizacao!$AJ$5:$AJ$17)/R147,""))</f>
        <v>0.789212228805437</v>
      </c>
      <c r="U147" s="60" t="n">
        <f aca="false">IF(R147=0,"",IFERROR(SUMPRODUCT(Normalizacao!$AL$5:$AL$17,Pesos_Indicadores!$I$5:$I$17,((Pesos_Indicadores!$B$5:$B$17=$A$12)*Q147+(Pesos_Indicadores!$B$5:$B$17&lt;&gt;$A$12)*Pesos_Indicadores!$G$5:$G$17*(1-Q147)/(1-$B$12)),Normalizacao!$AK$5:$AK$17)/R147,""))</f>
        <v>0.832468699024211</v>
      </c>
      <c r="V147" s="17" t="str">
        <f aca="false">IF(S147="","",IF(INDEX(S147:U147,$B$5)&gt;=MAX(S147:U147),$B$4,INDEX(Pontuacao!$A$29:$A$31,MATCH(MAX(S147:U147),S147:U147,0))))</f>
        <v>Microsoft Azure</v>
      </c>
      <c r="W147" s="43" t="str">
        <f aca="false">IF(OR(V147="",V147=$B$4,ABS(Q147-$B$12)&lt;0.000000001),"",ABS(Q147-$B$12))</f>
        <v/>
      </c>
    </row>
    <row r="148" customFormat="false" ht="15" hidden="false" customHeight="true" outlineLevel="0" collapsed="false">
      <c r="A148" s="60" t="n">
        <f aca="false">(ROW()-17)*$B$6</f>
        <v>0.655</v>
      </c>
      <c r="B148" s="43" t="n">
        <f aca="false">IFERROR(SUMPRODUCT(Normalizacao!$AL$5:$AL$17,Pesos_Indicadores!$I$5:$I$17,((Pesos_Indicadores!$B$5:$B$17=$A$10)*A148+(Pesos_Indicadores!$B$5:$B$17&lt;&gt;$A$10)*Pesos_Indicadores!$G$5:$G$17*(1-A148)/(1-$B$10))),0)</f>
        <v>0.992038461538462</v>
      </c>
      <c r="C148" s="60" t="n">
        <f aca="false">IF(B148=0,"",IFERROR(SUMPRODUCT(Normalizacao!$AL$5:$AL$17,Pesos_Indicadores!$I$5:$I$17,((Pesos_Indicadores!$B$5:$B$17=$A$10)*A148+(Pesos_Indicadores!$B$5:$B$17&lt;&gt;$A$10)*Pesos_Indicadores!$G$5:$G$17*(1-A148)/(1-$B$10)),Normalizacao!$AI$5:$AI$17)/B148,""))</f>
        <v>0.674581286179059</v>
      </c>
      <c r="D148" s="60" t="n">
        <f aca="false">IF(B148=0,"",IFERROR(SUMPRODUCT(Normalizacao!$AL$5:$AL$17,Pesos_Indicadores!$I$5:$I$17,((Pesos_Indicadores!$B$5:$B$17=$A$10)*A148+(Pesos_Indicadores!$B$5:$B$17&lt;&gt;$A$10)*Pesos_Indicadores!$G$5:$G$17*(1-A148)/(1-$B$10)),Normalizacao!$AJ$5:$AJ$17)/B148,""))</f>
        <v>0.843855153656452</v>
      </c>
      <c r="E148" s="60" t="n">
        <f aca="false">IF(B148=0,"",IFERROR(SUMPRODUCT(Normalizacao!$AL$5:$AL$17,Pesos_Indicadores!$I$5:$I$17,((Pesos_Indicadores!$B$5:$B$17=$A$10)*A148+(Pesos_Indicadores!$B$5:$B$17&lt;&gt;$A$10)*Pesos_Indicadores!$G$5:$G$17*(1-A148)/(1-$B$10)),Normalizacao!$AK$5:$AK$17)/B148,""))</f>
        <v>0.86692778047626</v>
      </c>
      <c r="F148" s="17" t="str">
        <f aca="false">IF(C148="","",IF(INDEX(C148:E148,$B$5)&gt;=MAX(C148:E148),$B$4,INDEX(Pontuacao!$A$29:$A$31,MATCH(MAX(C148:E148),C148:E148,0))))</f>
        <v>Microsoft Azure</v>
      </c>
      <c r="G148" s="43" t="str">
        <f aca="false">IF(OR(F148="",F148=$B$4,ABS(A148-$B$10)&lt;0.000000001),"",ABS(A148-$B$10))</f>
        <v/>
      </c>
      <c r="I148" s="60" t="n">
        <f aca="false">(ROW()-17)*$B$6</f>
        <v>0.655</v>
      </c>
      <c r="J148" s="43" t="n">
        <f aca="false">IFERROR(SUMPRODUCT(Normalizacao!$AL$5:$AL$17,Pesos_Indicadores!$I$5:$I$17,((Pesos_Indicadores!$B$5:$B$17=$A$11)*I148+(Pesos_Indicadores!$B$5:$B$17&lt;&gt;$A$11)*Pesos_Indicadores!$G$5:$G$17*(1-I148)/(1-$B$11))),0)</f>
        <v>0.848846153846154</v>
      </c>
      <c r="K148" s="60" t="n">
        <f aca="false">IF(J148=0,"",IFERROR(SUMPRODUCT(Normalizacao!$AL$5:$AL$17,Pesos_Indicadores!$I$5:$I$17,((Pesos_Indicadores!$B$5:$B$17=$A$11)*I148+(Pesos_Indicadores!$B$5:$B$17&lt;&gt;$A$11)*Pesos_Indicadores!$G$5:$G$17*(1-I148)/(1-$B$11)),Normalizacao!$AI$5:$AI$17)/J148,""))</f>
        <v>0.804549370424248</v>
      </c>
      <c r="L148" s="60" t="n">
        <f aca="false">IF(J148=0,"",IFERROR(SUMPRODUCT(Normalizacao!$AL$5:$AL$17,Pesos_Indicadores!$I$5:$I$17,((Pesos_Indicadores!$B$5:$B$17=$A$11)*I148+(Pesos_Indicadores!$B$5:$B$17&lt;&gt;$A$11)*Pesos_Indicadores!$G$5:$G$17*(1-I148)/(1-$B$11)),Normalizacao!$AJ$5:$AJ$17)/J148,""))</f>
        <v>0.814969358858179</v>
      </c>
      <c r="M148" s="60" t="n">
        <f aca="false">IF(J148=0,"",IFERROR(SUMPRODUCT(Normalizacao!$AL$5:$AL$17,Pesos_Indicadores!$I$5:$I$17,((Pesos_Indicadores!$B$5:$B$17=$A$11)*I148+(Pesos_Indicadores!$B$5:$B$17&lt;&gt;$A$11)*Pesos_Indicadores!$G$5:$G$17*(1-I148)/(1-$B$11)),Normalizacao!$AK$5:$AK$17)/J148,""))</f>
        <v>0.837834267256585</v>
      </c>
      <c r="N148" s="17" t="str">
        <f aca="false">IF(K148="","",IF(INDEX(K148:M148,$B$5)&gt;=MAX(K148:M148),$B$4,INDEX(Pontuacao!$A$29:$A$31,MATCH(MAX(K148:M148),K148:M148,0))))</f>
        <v>Microsoft Azure</v>
      </c>
      <c r="O148" s="43" t="str">
        <f aca="false">IF(OR(N148="",N148=$B$4,ABS(I148-$B$11)&lt;0.000000001),"",ABS(I148-$B$11))</f>
        <v/>
      </c>
      <c r="Q148" s="60" t="n">
        <f aca="false">(ROW()-17)*$B$6</f>
        <v>0.655</v>
      </c>
      <c r="R148" s="43" t="n">
        <f aca="false">IFERROR(SUMPRODUCT(Normalizacao!$AL$5:$AL$17,Pesos_Indicadores!$I$5:$I$17,((Pesos_Indicadores!$B$5:$B$17=$A$12)*Q148+(Pesos_Indicadores!$B$5:$B$17&lt;&gt;$A$12)*Pesos_Indicadores!$G$5:$G$17*(1-Q148)/(1-$B$12))),0)</f>
        <v>0.960192307692308</v>
      </c>
      <c r="S148" s="60" t="n">
        <f aca="false">IF(R148=0,"",IFERROR(SUMPRODUCT(Normalizacao!$AL$5:$AL$17,Pesos_Indicadores!$I$5:$I$17,((Pesos_Indicadores!$B$5:$B$17=$A$12)*Q148+(Pesos_Indicadores!$B$5:$B$17&lt;&gt;$A$12)*Pesos_Indicadores!$G$5:$G$17*(1-Q148)/(1-$B$12)),Normalizacao!$AI$5:$AI$17)/R148,""))</f>
        <v>0.742570519780324</v>
      </c>
      <c r="T148" s="60" t="n">
        <f aca="false">IF(R148=0,"",IFERROR(SUMPRODUCT(Normalizacao!$AL$5:$AL$17,Pesos_Indicadores!$I$5:$I$17,((Pesos_Indicadores!$B$5:$B$17=$A$12)*Q148+(Pesos_Indicadores!$B$5:$B$17&lt;&gt;$A$12)*Pesos_Indicadores!$G$5:$G$17*(1-Q148)/(1-$B$12)),Normalizacao!$AJ$5:$AJ$17)/R148,""))</f>
        <v>0.788628830362508</v>
      </c>
      <c r="U148" s="60" t="n">
        <f aca="false">IF(R148=0,"",IFERROR(SUMPRODUCT(Normalizacao!$AL$5:$AL$17,Pesos_Indicadores!$I$5:$I$17,((Pesos_Indicadores!$B$5:$B$17=$A$12)*Q148+(Pesos_Indicadores!$B$5:$B$17&lt;&gt;$A$12)*Pesos_Indicadores!$G$5:$G$17*(1-Q148)/(1-$B$12)),Normalizacao!$AK$5:$AK$17)/R148,""))</f>
        <v>0.832171605278894</v>
      </c>
      <c r="V148" s="17" t="str">
        <f aca="false">IF(S148="","",IF(INDEX(S148:U148,$B$5)&gt;=MAX(S148:U148),$B$4,INDEX(Pontuacao!$A$29:$A$31,MATCH(MAX(S148:U148),S148:U148,0))))</f>
        <v>Microsoft Azure</v>
      </c>
      <c r="W148" s="43" t="str">
        <f aca="false">IF(OR(V148="",V148=$B$4,ABS(Q148-$B$12)&lt;0.000000001),"",ABS(Q148-$B$12))</f>
        <v/>
      </c>
    </row>
    <row r="149" customFormat="false" ht="15" hidden="false" customHeight="true" outlineLevel="0" collapsed="false">
      <c r="A149" s="60" t="n">
        <f aca="false">(ROW()-17)*$B$6</f>
        <v>0.66</v>
      </c>
      <c r="B149" s="43" t="n">
        <f aca="false">IFERROR(SUMPRODUCT(Normalizacao!$AL$5:$AL$17,Pesos_Indicadores!$I$5:$I$17,((Pesos_Indicadores!$B$5:$B$17=$A$10)*A149+(Pesos_Indicadores!$B$5:$B$17&lt;&gt;$A$10)*Pesos_Indicadores!$G$5:$G$17*(1-A149)/(1-$B$10))),0)</f>
        <v>0.992153846153846</v>
      </c>
      <c r="C149" s="60" t="n">
        <f aca="false">IF(B149=0,"",IFERROR(SUMPRODUCT(Normalizacao!$AL$5:$AL$17,Pesos_Indicadores!$I$5:$I$17,((Pesos_Indicadores!$B$5:$B$17=$A$10)*A149+(Pesos_Indicadores!$B$5:$B$17&lt;&gt;$A$10)*Pesos_Indicadores!$G$5:$G$17*(1-A149)/(1-$B$10)),Normalizacao!$AI$5:$AI$17)/B149,""))</f>
        <v>0.673955224463162</v>
      </c>
      <c r="D149" s="60" t="n">
        <f aca="false">IF(B149=0,"",IFERROR(SUMPRODUCT(Normalizacao!$AL$5:$AL$17,Pesos_Indicadores!$I$5:$I$17,((Pesos_Indicadores!$B$5:$B$17=$A$10)*A149+(Pesos_Indicadores!$B$5:$B$17&lt;&gt;$A$10)*Pesos_Indicadores!$G$5:$G$17*(1-A149)/(1-$B$10)),Normalizacao!$AJ$5:$AJ$17)/B149,""))</f>
        <v>0.844501422532648</v>
      </c>
      <c r="E149" s="60" t="n">
        <f aca="false">IF(B149=0,"",IFERROR(SUMPRODUCT(Normalizacao!$AL$5:$AL$17,Pesos_Indicadores!$I$5:$I$17,((Pesos_Indicadores!$B$5:$B$17=$A$10)*A149+(Pesos_Indicadores!$B$5:$B$17&lt;&gt;$A$10)*Pesos_Indicadores!$G$5:$G$17*(1-A149)/(1-$B$10)),Normalizacao!$AK$5:$AK$17)/B149,""))</f>
        <v>0.867314900586043</v>
      </c>
      <c r="F149" s="17" t="str">
        <f aca="false">IF(C149="","",IF(INDEX(C149:E149,$B$5)&gt;=MAX(C149:E149),$B$4,INDEX(Pontuacao!$A$29:$A$31,MATCH(MAX(C149:E149),C149:E149,0))))</f>
        <v>Microsoft Azure</v>
      </c>
      <c r="G149" s="43" t="str">
        <f aca="false">IF(OR(F149="",F149=$B$4,ABS(A149-$B$10)&lt;0.000000001),"",ABS(A149-$B$10))</f>
        <v/>
      </c>
      <c r="I149" s="60" t="n">
        <f aca="false">(ROW()-17)*$B$6</f>
        <v>0.66</v>
      </c>
      <c r="J149" s="43" t="n">
        <f aca="false">IFERROR(SUMPRODUCT(Normalizacao!$AL$5:$AL$17,Pesos_Indicadores!$I$5:$I$17,((Pesos_Indicadores!$B$5:$B$17=$A$11)*I149+(Pesos_Indicadores!$B$5:$B$17&lt;&gt;$A$11)*Pesos_Indicadores!$G$5:$G$17*(1-I149)/(1-$B$11))),0)</f>
        <v>0.847692307692308</v>
      </c>
      <c r="K149" s="60" t="n">
        <f aca="false">IF(J149=0,"",IFERROR(SUMPRODUCT(Normalizacao!$AL$5:$AL$17,Pesos_Indicadores!$I$5:$I$17,((Pesos_Indicadores!$B$5:$B$17=$A$11)*I149+(Pesos_Indicadores!$B$5:$B$17&lt;&gt;$A$11)*Pesos_Indicadores!$G$5:$G$17*(1-I149)/(1-$B$11)),Normalizacao!$AI$5:$AI$17)/J149,""))</f>
        <v>0.805147106156063</v>
      </c>
      <c r="L149" s="60" t="n">
        <f aca="false">IF(J149=0,"",IFERROR(SUMPRODUCT(Normalizacao!$AL$5:$AL$17,Pesos_Indicadores!$I$5:$I$17,((Pesos_Indicadores!$B$5:$B$17=$A$11)*I149+(Pesos_Indicadores!$B$5:$B$17&lt;&gt;$A$11)*Pesos_Indicadores!$G$5:$G$17*(1-I149)/(1-$B$11)),Normalizacao!$AJ$5:$AJ$17)/J149,""))</f>
        <v>0.815430057997317</v>
      </c>
      <c r="M149" s="60" t="n">
        <f aca="false">IF(J149=0,"",IFERROR(SUMPRODUCT(Normalizacao!$AL$5:$AL$17,Pesos_Indicadores!$I$5:$I$17,((Pesos_Indicadores!$B$5:$B$17=$A$11)*I149+(Pesos_Indicadores!$B$5:$B$17&lt;&gt;$A$11)*Pesos_Indicadores!$G$5:$G$17*(1-I149)/(1-$B$11)),Normalizacao!$AK$5:$AK$17)/J149,""))</f>
        <v>0.83798952774134</v>
      </c>
      <c r="N149" s="17" t="str">
        <f aca="false">IF(K149="","",IF(INDEX(K149:M149,$B$5)&gt;=MAX(K149:M149),$B$4,INDEX(Pontuacao!$A$29:$A$31,MATCH(MAX(K149:M149),K149:M149,0))))</f>
        <v>Microsoft Azure</v>
      </c>
      <c r="O149" s="43" t="str">
        <f aca="false">IF(OR(N149="",N149=$B$4,ABS(I149-$B$11)&lt;0.000000001),"",ABS(I149-$B$11))</f>
        <v/>
      </c>
      <c r="Q149" s="60" t="n">
        <f aca="false">(ROW()-17)*$B$6</f>
        <v>0.66</v>
      </c>
      <c r="R149" s="43" t="n">
        <f aca="false">IFERROR(SUMPRODUCT(Normalizacao!$AL$5:$AL$17,Pesos_Indicadores!$I$5:$I$17,((Pesos_Indicadores!$B$5:$B$17=$A$12)*Q149+(Pesos_Indicadores!$B$5:$B$17&lt;&gt;$A$12)*Pesos_Indicadores!$G$5:$G$17*(1-Q149)/(1-$B$12))),0)</f>
        <v>0.960769230769231</v>
      </c>
      <c r="S149" s="60" t="n">
        <f aca="false">IF(R149=0,"",IFERROR(SUMPRODUCT(Normalizacao!$AL$5:$AL$17,Pesos_Indicadores!$I$5:$I$17,((Pesos_Indicadores!$B$5:$B$17=$A$12)*Q149+(Pesos_Indicadores!$B$5:$B$17&lt;&gt;$A$12)*Pesos_Indicadores!$G$5:$G$17*(1-Q149)/(1-$B$12)),Normalizacao!$AI$5:$AI$17)/R149,""))</f>
        <v>0.742682590007933</v>
      </c>
      <c r="T149" s="60" t="n">
        <f aca="false">IF(R149=0,"",IFERROR(SUMPRODUCT(Normalizacao!$AL$5:$AL$17,Pesos_Indicadores!$I$5:$I$17,((Pesos_Indicadores!$B$5:$B$17=$A$12)*Q149+(Pesos_Indicadores!$B$5:$B$17&lt;&gt;$A$12)*Pesos_Indicadores!$G$5:$G$17*(1-Q149)/(1-$B$12)),Normalizacao!$AJ$5:$AJ$17)/R149,""))</f>
        <v>0.78804613255822</v>
      </c>
      <c r="U149" s="60" t="n">
        <f aca="false">IF(R149=0,"",IFERROR(SUMPRODUCT(Normalizacao!$AL$5:$AL$17,Pesos_Indicadores!$I$5:$I$17,((Pesos_Indicadores!$B$5:$B$17=$A$12)*Q149+(Pesos_Indicadores!$B$5:$B$17&lt;&gt;$A$12)*Pesos_Indicadores!$G$5:$G$17*(1-Q149)/(1-$B$12)),Normalizacao!$AK$5:$AK$17)/R149,""))</f>
        <v>0.831874868331509</v>
      </c>
      <c r="V149" s="17" t="str">
        <f aca="false">IF(S149="","",IF(INDEX(S149:U149,$B$5)&gt;=MAX(S149:U149),$B$4,INDEX(Pontuacao!$A$29:$A$31,MATCH(MAX(S149:U149),S149:U149,0))))</f>
        <v>Microsoft Azure</v>
      </c>
      <c r="W149" s="43" t="str">
        <f aca="false">IF(OR(V149="",V149=$B$4,ABS(Q149-$B$12)&lt;0.000000001),"",ABS(Q149-$B$12))</f>
        <v/>
      </c>
    </row>
    <row r="150" customFormat="false" ht="15" hidden="false" customHeight="true" outlineLevel="0" collapsed="false">
      <c r="A150" s="60" t="n">
        <f aca="false">(ROW()-17)*$B$6</f>
        <v>0.665</v>
      </c>
      <c r="B150" s="43" t="n">
        <f aca="false">IFERROR(SUMPRODUCT(Normalizacao!$AL$5:$AL$17,Pesos_Indicadores!$I$5:$I$17,((Pesos_Indicadores!$B$5:$B$17=$A$10)*A150+(Pesos_Indicadores!$B$5:$B$17&lt;&gt;$A$10)*Pesos_Indicadores!$G$5:$G$17*(1-A150)/(1-$B$10))),0)</f>
        <v>0.992269230769231</v>
      </c>
      <c r="C150" s="60" t="n">
        <f aca="false">IF(B150=0,"",IFERROR(SUMPRODUCT(Normalizacao!$AL$5:$AL$17,Pesos_Indicadores!$I$5:$I$17,((Pesos_Indicadores!$B$5:$B$17=$A$10)*A150+(Pesos_Indicadores!$B$5:$B$17&lt;&gt;$A$10)*Pesos_Indicadores!$G$5:$G$17*(1-A150)/(1-$B$10)),Normalizacao!$AI$5:$AI$17)/B150,""))</f>
        <v>0.673329308348655</v>
      </c>
      <c r="D150" s="60" t="n">
        <f aca="false">IF(B150=0,"",IFERROR(SUMPRODUCT(Normalizacao!$AL$5:$AL$17,Pesos_Indicadores!$I$5:$I$17,((Pesos_Indicadores!$B$5:$B$17=$A$10)*A150+(Pesos_Indicadores!$B$5:$B$17&lt;&gt;$A$10)*Pesos_Indicadores!$G$5:$G$17*(1-A150)/(1-$B$10)),Normalizacao!$AJ$5:$AJ$17)/B150,""))</f>
        <v>0.84514754110793</v>
      </c>
      <c r="E150" s="60" t="n">
        <f aca="false">IF(B150=0,"",IFERROR(SUMPRODUCT(Normalizacao!$AL$5:$AL$17,Pesos_Indicadores!$I$5:$I$17,((Pesos_Indicadores!$B$5:$B$17=$A$10)*A150+(Pesos_Indicadores!$B$5:$B$17&lt;&gt;$A$10)*Pesos_Indicadores!$G$5:$G$17*(1-A150)/(1-$B$10)),Normalizacao!$AK$5:$AK$17)/B150,""))</f>
        <v>0.867701930664403</v>
      </c>
      <c r="F150" s="17" t="str">
        <f aca="false">IF(C150="","",IF(INDEX(C150:E150,$B$5)&gt;=MAX(C150:E150),$B$4,INDEX(Pontuacao!$A$29:$A$31,MATCH(MAX(C150:E150),C150:E150,0))))</f>
        <v>Microsoft Azure</v>
      </c>
      <c r="G150" s="43" t="str">
        <f aca="false">IF(OR(F150="",F150=$B$4,ABS(A150-$B$10)&lt;0.000000001),"",ABS(A150-$B$10))</f>
        <v/>
      </c>
      <c r="I150" s="60" t="n">
        <f aca="false">(ROW()-17)*$B$6</f>
        <v>0.665</v>
      </c>
      <c r="J150" s="43" t="n">
        <f aca="false">IFERROR(SUMPRODUCT(Normalizacao!$AL$5:$AL$17,Pesos_Indicadores!$I$5:$I$17,((Pesos_Indicadores!$B$5:$B$17=$A$11)*I150+(Pesos_Indicadores!$B$5:$B$17&lt;&gt;$A$11)*Pesos_Indicadores!$G$5:$G$17*(1-I150)/(1-$B$11))),0)</f>
        <v>0.846538461538462</v>
      </c>
      <c r="K150" s="60" t="n">
        <f aca="false">IF(J150=0,"",IFERROR(SUMPRODUCT(Normalizacao!$AL$5:$AL$17,Pesos_Indicadores!$I$5:$I$17,((Pesos_Indicadores!$B$5:$B$17=$A$11)*I150+(Pesos_Indicadores!$B$5:$B$17&lt;&gt;$A$11)*Pesos_Indicadores!$G$5:$G$17*(1-I150)/(1-$B$11)),Normalizacao!$AI$5:$AI$17)/J150,""))</f>
        <v>0.80574647133558</v>
      </c>
      <c r="L150" s="60" t="n">
        <f aca="false">IF(J150=0,"",IFERROR(SUMPRODUCT(Normalizacao!$AL$5:$AL$17,Pesos_Indicadores!$I$5:$I$17,((Pesos_Indicadores!$B$5:$B$17=$A$11)*I150+(Pesos_Indicadores!$B$5:$B$17&lt;&gt;$A$11)*Pesos_Indicadores!$G$5:$G$17*(1-I150)/(1-$B$11)),Normalizacao!$AJ$5:$AJ$17)/J150,""))</f>
        <v>0.815892013017798</v>
      </c>
      <c r="M150" s="60" t="n">
        <f aca="false">IF(J150=0,"",IFERROR(SUMPRODUCT(Normalizacao!$AL$5:$AL$17,Pesos_Indicadores!$I$5:$I$17,((Pesos_Indicadores!$B$5:$B$17=$A$11)*I150+(Pesos_Indicadores!$B$5:$B$17&lt;&gt;$A$11)*Pesos_Indicadores!$G$5:$G$17*(1-I150)/(1-$B$11)),Normalizacao!$AK$5:$AK$17)/J150,""))</f>
        <v>0.838145211471397</v>
      </c>
      <c r="N150" s="17" t="str">
        <f aca="false">IF(K150="","",IF(INDEX(K150:M150,$B$5)&gt;=MAX(K150:M150),$B$4,INDEX(Pontuacao!$A$29:$A$31,MATCH(MAX(K150:M150),K150:M150,0))))</f>
        <v>Microsoft Azure</v>
      </c>
      <c r="O150" s="43" t="str">
        <f aca="false">IF(OR(N150="",N150=$B$4,ABS(I150-$B$11)&lt;0.000000001),"",ABS(I150-$B$11))</f>
        <v/>
      </c>
      <c r="Q150" s="60" t="n">
        <f aca="false">(ROW()-17)*$B$6</f>
        <v>0.665</v>
      </c>
      <c r="R150" s="43" t="n">
        <f aca="false">IFERROR(SUMPRODUCT(Normalizacao!$AL$5:$AL$17,Pesos_Indicadores!$I$5:$I$17,((Pesos_Indicadores!$B$5:$B$17=$A$12)*Q150+(Pesos_Indicadores!$B$5:$B$17&lt;&gt;$A$12)*Pesos_Indicadores!$G$5:$G$17*(1-Q150)/(1-$B$12))),0)</f>
        <v>0.961346153846154</v>
      </c>
      <c r="S150" s="60" t="n">
        <f aca="false">IF(R150=0,"",IFERROR(SUMPRODUCT(Normalizacao!$AL$5:$AL$17,Pesos_Indicadores!$I$5:$I$17,((Pesos_Indicadores!$B$5:$B$17=$A$12)*Q150+(Pesos_Indicadores!$B$5:$B$17&lt;&gt;$A$12)*Pesos_Indicadores!$G$5:$G$17*(1-Q150)/(1-$B$12)),Normalizacao!$AI$5:$AI$17)/R150,""))</f>
        <v>0.742794525724367</v>
      </c>
      <c r="T150" s="60" t="n">
        <f aca="false">IF(R150=0,"",IFERROR(SUMPRODUCT(Normalizacao!$AL$5:$AL$17,Pesos_Indicadores!$I$5:$I$17,((Pesos_Indicadores!$B$5:$B$17=$A$12)*Q150+(Pesos_Indicadores!$B$5:$B$17&lt;&gt;$A$12)*Pesos_Indicadores!$G$5:$G$17*(1-Q150)/(1-$B$12)),Normalizacao!$AJ$5:$AJ$17)/R150,""))</f>
        <v>0.787464134131174</v>
      </c>
      <c r="U150" s="60" t="n">
        <f aca="false">IF(R150=0,"",IFERROR(SUMPRODUCT(Normalizacao!$AL$5:$AL$17,Pesos_Indicadores!$I$5:$I$17,((Pesos_Indicadores!$B$5:$B$17=$A$12)*Q150+(Pesos_Indicadores!$B$5:$B$17&lt;&gt;$A$12)*Pesos_Indicadores!$G$5:$G$17*(1-Q150)/(1-$B$12)),Normalizacao!$AK$5:$AK$17)/R150,""))</f>
        <v>0.831578487539692</v>
      </c>
      <c r="V150" s="17" t="str">
        <f aca="false">IF(S150="","",IF(INDEX(S150:U150,$B$5)&gt;=MAX(S150:U150),$B$4,INDEX(Pontuacao!$A$29:$A$31,MATCH(MAX(S150:U150),S150:U150,0))))</f>
        <v>Microsoft Azure</v>
      </c>
      <c r="W150" s="43" t="str">
        <f aca="false">IF(OR(V150="",V150=$B$4,ABS(Q150-$B$12)&lt;0.000000001),"",ABS(Q150-$B$12))</f>
        <v/>
      </c>
    </row>
    <row r="151" customFormat="false" ht="15" hidden="false" customHeight="true" outlineLevel="0" collapsed="false">
      <c r="A151" s="60" t="n">
        <f aca="false">(ROW()-17)*$B$6</f>
        <v>0.67</v>
      </c>
      <c r="B151" s="43" t="n">
        <f aca="false">IFERROR(SUMPRODUCT(Normalizacao!$AL$5:$AL$17,Pesos_Indicadores!$I$5:$I$17,((Pesos_Indicadores!$B$5:$B$17=$A$10)*A151+(Pesos_Indicadores!$B$5:$B$17&lt;&gt;$A$10)*Pesos_Indicadores!$G$5:$G$17*(1-A151)/(1-$B$10))),0)</f>
        <v>0.992384615384615</v>
      </c>
      <c r="C151" s="60" t="n">
        <f aca="false">IF(B151=0,"",IFERROR(SUMPRODUCT(Normalizacao!$AL$5:$AL$17,Pesos_Indicadores!$I$5:$I$17,((Pesos_Indicadores!$B$5:$B$17=$A$10)*A151+(Pesos_Indicadores!$B$5:$B$17&lt;&gt;$A$10)*Pesos_Indicadores!$G$5:$G$17*(1-A151)/(1-$B$10)),Normalizacao!$AI$5:$AI$17)/B151,""))</f>
        <v>0.672703537784753</v>
      </c>
      <c r="D151" s="60" t="n">
        <f aca="false">IF(B151=0,"",IFERROR(SUMPRODUCT(Normalizacao!$AL$5:$AL$17,Pesos_Indicadores!$I$5:$I$17,((Pesos_Indicadores!$B$5:$B$17=$A$10)*A151+(Pesos_Indicadores!$B$5:$B$17&lt;&gt;$A$10)*Pesos_Indicadores!$G$5:$G$17*(1-A151)/(1-$B$10)),Normalizacao!$AJ$5:$AJ$17)/B151,""))</f>
        <v>0.845793509434725</v>
      </c>
      <c r="E151" s="60" t="n">
        <f aca="false">IF(B151=0,"",IFERROR(SUMPRODUCT(Normalizacao!$AL$5:$AL$17,Pesos_Indicadores!$I$5:$I$17,((Pesos_Indicadores!$B$5:$B$17=$A$10)*A151+(Pesos_Indicadores!$B$5:$B$17&lt;&gt;$A$10)*Pesos_Indicadores!$G$5:$G$17*(1-A151)/(1-$B$10)),Normalizacao!$AK$5:$AK$17)/B151,""))</f>
        <v>0.868088870742744</v>
      </c>
      <c r="F151" s="17" t="str">
        <f aca="false">IF(C151="","",IF(INDEX(C151:E151,$B$5)&gt;=MAX(C151:E151),$B$4,INDEX(Pontuacao!$A$29:$A$31,MATCH(MAX(C151:E151),C151:E151,0))))</f>
        <v>Microsoft Azure</v>
      </c>
      <c r="G151" s="43" t="str">
        <f aca="false">IF(OR(F151="",F151=$B$4,ABS(A151-$B$10)&lt;0.000000001),"",ABS(A151-$B$10))</f>
        <v/>
      </c>
      <c r="I151" s="60" t="n">
        <f aca="false">(ROW()-17)*$B$6</f>
        <v>0.67</v>
      </c>
      <c r="J151" s="43" t="n">
        <f aca="false">IFERROR(SUMPRODUCT(Normalizacao!$AL$5:$AL$17,Pesos_Indicadores!$I$5:$I$17,((Pesos_Indicadores!$B$5:$B$17=$A$11)*I151+(Pesos_Indicadores!$B$5:$B$17&lt;&gt;$A$11)*Pesos_Indicadores!$G$5:$G$17*(1-I151)/(1-$B$11))),0)</f>
        <v>0.845384615384615</v>
      </c>
      <c r="K151" s="60" t="n">
        <f aca="false">IF(J151=0,"",IFERROR(SUMPRODUCT(Normalizacao!$AL$5:$AL$17,Pesos_Indicadores!$I$5:$I$17,((Pesos_Indicadores!$B$5:$B$17=$A$11)*I151+(Pesos_Indicadores!$B$5:$B$17&lt;&gt;$A$11)*Pesos_Indicadores!$G$5:$G$17*(1-I151)/(1-$B$11)),Normalizacao!$AI$5:$AI$17)/J151,""))</f>
        <v>0.806347472634786</v>
      </c>
      <c r="L151" s="60" t="n">
        <f aca="false">IF(J151=0,"",IFERROR(SUMPRODUCT(Normalizacao!$AL$5:$AL$17,Pesos_Indicadores!$I$5:$I$17,((Pesos_Indicadores!$B$5:$B$17=$A$11)*I151+(Pesos_Indicadores!$B$5:$B$17&lt;&gt;$A$11)*Pesos_Indicadores!$G$5:$G$17*(1-I151)/(1-$B$11)),Normalizacao!$AJ$5:$AJ$17)/J151,""))</f>
        <v>0.816355229061993</v>
      </c>
      <c r="M151" s="60" t="n">
        <f aca="false">IF(J151=0,"",IFERROR(SUMPRODUCT(Normalizacao!$AL$5:$AL$17,Pesos_Indicadores!$I$5:$I$17,((Pesos_Indicadores!$B$5:$B$17=$A$11)*I151+(Pesos_Indicadores!$B$5:$B$17&lt;&gt;$A$11)*Pesos_Indicadores!$G$5:$G$17*(1-I151)/(1-$B$11)),Normalizacao!$AK$5:$AK$17)/J151,""))</f>
        <v>0.838301320179789</v>
      </c>
      <c r="N151" s="17" t="str">
        <f aca="false">IF(K151="","",IF(INDEX(K151:M151,$B$5)&gt;=MAX(K151:M151),$B$4,INDEX(Pontuacao!$A$29:$A$31,MATCH(MAX(K151:M151),K151:M151,0))))</f>
        <v>Microsoft Azure</v>
      </c>
      <c r="O151" s="43" t="str">
        <f aca="false">IF(OR(N151="",N151=$B$4,ABS(I151-$B$11)&lt;0.000000001),"",ABS(I151-$B$11))</f>
        <v/>
      </c>
      <c r="Q151" s="60" t="n">
        <f aca="false">(ROW()-17)*$B$6</f>
        <v>0.67</v>
      </c>
      <c r="R151" s="43" t="n">
        <f aca="false">IFERROR(SUMPRODUCT(Normalizacao!$AL$5:$AL$17,Pesos_Indicadores!$I$5:$I$17,((Pesos_Indicadores!$B$5:$B$17=$A$12)*Q151+(Pesos_Indicadores!$B$5:$B$17&lt;&gt;$A$12)*Pesos_Indicadores!$G$5:$G$17*(1-Q151)/(1-$B$12))),0)</f>
        <v>0.961923076923077</v>
      </c>
      <c r="S151" s="60" t="n">
        <f aca="false">IF(R151=0,"",IFERROR(SUMPRODUCT(Normalizacao!$AL$5:$AL$17,Pesos_Indicadores!$I$5:$I$17,((Pesos_Indicadores!$B$5:$B$17=$A$12)*Q151+(Pesos_Indicadores!$B$5:$B$17&lt;&gt;$A$12)*Pesos_Indicadores!$G$5:$G$17*(1-Q151)/(1-$B$12)),Normalizacao!$AI$5:$AI$17)/R151,""))</f>
        <v>0.742906327171649</v>
      </c>
      <c r="T151" s="60" t="n">
        <f aca="false">IF(R151=0,"",IFERROR(SUMPRODUCT(Normalizacao!$AL$5:$AL$17,Pesos_Indicadores!$I$5:$I$17,((Pesos_Indicadores!$B$5:$B$17=$A$12)*Q151+(Pesos_Indicadores!$B$5:$B$17&lt;&gt;$A$12)*Pesos_Indicadores!$G$5:$G$17*(1-Q151)/(1-$B$12)),Normalizacao!$AJ$5:$AJ$17)/R151,""))</f>
        <v>0.786882833822993</v>
      </c>
      <c r="U151" s="60" t="n">
        <f aca="false">IF(R151=0,"",IFERROR(SUMPRODUCT(Normalizacao!$AL$5:$AL$17,Pesos_Indicadores!$I$5:$I$17,((Pesos_Indicadores!$B$5:$B$17=$A$12)*Q151+(Pesos_Indicadores!$B$5:$B$17&lt;&gt;$A$12)*Pesos_Indicadores!$G$5:$G$17*(1-Q151)/(1-$B$12)),Normalizacao!$AK$5:$AK$17)/R151,""))</f>
        <v>0.83128246226262</v>
      </c>
      <c r="V151" s="17" t="str">
        <f aca="false">IF(S151="","",IF(INDEX(S151:U151,$B$5)&gt;=MAX(S151:U151),$B$4,INDEX(Pontuacao!$A$29:$A$31,MATCH(MAX(S151:U151),S151:U151,0))))</f>
        <v>Microsoft Azure</v>
      </c>
      <c r="W151" s="43" t="str">
        <f aca="false">IF(OR(V151="",V151=$B$4,ABS(Q151-$B$12)&lt;0.000000001),"",ABS(Q151-$B$12))</f>
        <v/>
      </c>
    </row>
    <row r="152" customFormat="false" ht="15" hidden="false" customHeight="true" outlineLevel="0" collapsed="false">
      <c r="A152" s="60" t="n">
        <f aca="false">(ROW()-17)*$B$6</f>
        <v>0.675</v>
      </c>
      <c r="B152" s="43" t="n">
        <f aca="false">IFERROR(SUMPRODUCT(Normalizacao!$AL$5:$AL$17,Pesos_Indicadores!$I$5:$I$17,((Pesos_Indicadores!$B$5:$B$17=$A$10)*A152+(Pesos_Indicadores!$B$5:$B$17&lt;&gt;$A$10)*Pesos_Indicadores!$G$5:$G$17*(1-A152)/(1-$B$10))),0)</f>
        <v>0.9925</v>
      </c>
      <c r="C152" s="60" t="n">
        <f aca="false">IF(B152=0,"",IFERROR(SUMPRODUCT(Normalizacao!$AL$5:$AL$17,Pesos_Indicadores!$I$5:$I$17,((Pesos_Indicadores!$B$5:$B$17=$A$10)*A152+(Pesos_Indicadores!$B$5:$B$17&lt;&gt;$A$10)*Pesos_Indicadores!$G$5:$G$17*(1-A152)/(1-$B$10)),Normalizacao!$AI$5:$AI$17)/B152,""))</f>
        <v>0.672077912720691</v>
      </c>
      <c r="D152" s="60" t="n">
        <f aca="false">IF(B152=0,"",IFERROR(SUMPRODUCT(Normalizacao!$AL$5:$AL$17,Pesos_Indicadores!$I$5:$I$17,((Pesos_Indicadores!$B$5:$B$17=$A$10)*A152+(Pesos_Indicadores!$B$5:$B$17&lt;&gt;$A$10)*Pesos_Indicadores!$G$5:$G$17*(1-A152)/(1-$B$10)),Normalizacao!$AJ$5:$AJ$17)/B152,""))</f>
        <v>0.846439327565436</v>
      </c>
      <c r="E152" s="60" t="n">
        <f aca="false">IF(B152=0,"",IFERROR(SUMPRODUCT(Normalizacao!$AL$5:$AL$17,Pesos_Indicadores!$I$5:$I$17,((Pesos_Indicadores!$B$5:$B$17=$A$10)*A152+(Pesos_Indicadores!$B$5:$B$17&lt;&gt;$A$10)*Pesos_Indicadores!$G$5:$G$17*(1-A152)/(1-$B$10)),Normalizacao!$AK$5:$AK$17)/B152,""))</f>
        <v>0.868475720852457</v>
      </c>
      <c r="F152" s="17" t="str">
        <f aca="false">IF(C152="","",IF(INDEX(C152:E152,$B$5)&gt;=MAX(C152:E152),$B$4,INDEX(Pontuacao!$A$29:$A$31,MATCH(MAX(C152:E152),C152:E152,0))))</f>
        <v>Microsoft Azure</v>
      </c>
      <c r="G152" s="43" t="str">
        <f aca="false">IF(OR(F152="",F152=$B$4,ABS(A152-$B$10)&lt;0.000000001),"",ABS(A152-$B$10))</f>
        <v/>
      </c>
      <c r="I152" s="60" t="n">
        <f aca="false">(ROW()-17)*$B$6</f>
        <v>0.675</v>
      </c>
      <c r="J152" s="43" t="n">
        <f aca="false">IFERROR(SUMPRODUCT(Normalizacao!$AL$5:$AL$17,Pesos_Indicadores!$I$5:$I$17,((Pesos_Indicadores!$B$5:$B$17=$A$11)*I152+(Pesos_Indicadores!$B$5:$B$17&lt;&gt;$A$11)*Pesos_Indicadores!$G$5:$G$17*(1-I152)/(1-$B$11))),0)</f>
        <v>0.844230769230769</v>
      </c>
      <c r="K152" s="60" t="n">
        <f aca="false">IF(J152=0,"",IFERROR(SUMPRODUCT(Normalizacao!$AL$5:$AL$17,Pesos_Indicadores!$I$5:$I$17,((Pesos_Indicadores!$B$5:$B$17=$A$11)*I152+(Pesos_Indicadores!$B$5:$B$17&lt;&gt;$A$11)*Pesos_Indicadores!$G$5:$G$17*(1-I152)/(1-$B$11)),Normalizacao!$AI$5:$AI$17)/J152,""))</f>
        <v>0.806950116762144</v>
      </c>
      <c r="L152" s="60" t="n">
        <f aca="false">IF(J152=0,"",IFERROR(SUMPRODUCT(Normalizacao!$AL$5:$AL$17,Pesos_Indicadores!$I$5:$I$17,((Pesos_Indicadores!$B$5:$B$17=$A$11)*I152+(Pesos_Indicadores!$B$5:$B$17&lt;&gt;$A$11)*Pesos_Indicadores!$G$5:$G$17*(1-I152)/(1-$B$11)),Normalizacao!$AJ$5:$AJ$17)/J152,""))</f>
        <v>0.816819711300386</v>
      </c>
      <c r="M152" s="60" t="n">
        <f aca="false">IF(J152=0,"",IFERROR(SUMPRODUCT(Normalizacao!$AL$5:$AL$17,Pesos_Indicadores!$I$5:$I$17,((Pesos_Indicadores!$B$5:$B$17=$A$11)*I152+(Pesos_Indicadores!$B$5:$B$17&lt;&gt;$A$11)*Pesos_Indicadores!$G$5:$G$17*(1-I152)/(1-$B$11)),Normalizacao!$AK$5:$AK$17)/J152,""))</f>
        <v>0.838457855609023</v>
      </c>
      <c r="N152" s="17" t="str">
        <f aca="false">IF(K152="","",IF(INDEX(K152:M152,$B$5)&gt;=MAX(K152:M152),$B$4,INDEX(Pontuacao!$A$29:$A$31,MATCH(MAX(K152:M152),K152:M152,0))))</f>
        <v>Microsoft Azure</v>
      </c>
      <c r="O152" s="43" t="str">
        <f aca="false">IF(OR(N152="",N152=$B$4,ABS(I152-$B$11)&lt;0.000000001),"",ABS(I152-$B$11))</f>
        <v/>
      </c>
      <c r="Q152" s="60" t="n">
        <f aca="false">(ROW()-17)*$B$6</f>
        <v>0.675</v>
      </c>
      <c r="R152" s="43" t="n">
        <f aca="false">IFERROR(SUMPRODUCT(Normalizacao!$AL$5:$AL$17,Pesos_Indicadores!$I$5:$I$17,((Pesos_Indicadores!$B$5:$B$17=$A$12)*Q152+(Pesos_Indicadores!$B$5:$B$17&lt;&gt;$A$12)*Pesos_Indicadores!$G$5:$G$17*(1-Q152)/(1-$B$12))),0)</f>
        <v>0.9625</v>
      </c>
      <c r="S152" s="60" t="n">
        <f aca="false">IF(R152=0,"",IFERROR(SUMPRODUCT(Normalizacao!$AL$5:$AL$17,Pesos_Indicadores!$I$5:$I$17,((Pesos_Indicadores!$B$5:$B$17=$A$12)*Q152+(Pesos_Indicadores!$B$5:$B$17&lt;&gt;$A$12)*Pesos_Indicadores!$G$5:$G$17*(1-Q152)/(1-$B$12)),Normalizacao!$AI$5:$AI$17)/R152,""))</f>
        <v>0.743017994591221</v>
      </c>
      <c r="T152" s="60" t="n">
        <f aca="false">IF(R152=0,"",IFERROR(SUMPRODUCT(Normalizacao!$AL$5:$AL$17,Pesos_Indicadores!$I$5:$I$17,((Pesos_Indicadores!$B$5:$B$17=$A$12)*Q152+(Pesos_Indicadores!$B$5:$B$17&lt;&gt;$A$12)*Pesos_Indicadores!$G$5:$G$17*(1-Q152)/(1-$B$12)),Normalizacao!$AJ$5:$AJ$17)/R152,""))</f>
        <v>0.786302230378317</v>
      </c>
      <c r="U152" s="60" t="n">
        <f aca="false">IF(R152=0,"",IFERROR(SUMPRODUCT(Normalizacao!$AL$5:$AL$17,Pesos_Indicadores!$I$5:$I$17,((Pesos_Indicadores!$B$5:$B$17=$A$12)*Q152+(Pesos_Indicadores!$B$5:$B$17&lt;&gt;$A$12)*Pesos_Indicadores!$G$5:$G$17*(1-Q152)/(1-$B$12)),Normalizacao!$AK$5:$AK$17)/R152,""))</f>
        <v>0.830986791861004</v>
      </c>
      <c r="V152" s="17" t="str">
        <f aca="false">IF(S152="","",IF(INDEX(S152:U152,$B$5)&gt;=MAX(S152:U152),$B$4,INDEX(Pontuacao!$A$29:$A$31,MATCH(MAX(S152:U152),S152:U152,0))))</f>
        <v>Microsoft Azure</v>
      </c>
      <c r="W152" s="43" t="str">
        <f aca="false">IF(OR(V152="",V152=$B$4,ABS(Q152-$B$12)&lt;0.000000001),"",ABS(Q152-$B$12))</f>
        <v/>
      </c>
    </row>
    <row r="153" customFormat="false" ht="15" hidden="false" customHeight="true" outlineLevel="0" collapsed="false">
      <c r="A153" s="60" t="n">
        <f aca="false">(ROW()-17)*$B$6</f>
        <v>0.68</v>
      </c>
      <c r="B153" s="43" t="n">
        <f aca="false">IFERROR(SUMPRODUCT(Normalizacao!$AL$5:$AL$17,Pesos_Indicadores!$I$5:$I$17,((Pesos_Indicadores!$B$5:$B$17=$A$10)*A153+(Pesos_Indicadores!$B$5:$B$17&lt;&gt;$A$10)*Pesos_Indicadores!$G$5:$G$17*(1-A153)/(1-$B$10))),0)</f>
        <v>0.992615384615385</v>
      </c>
      <c r="C153" s="60" t="n">
        <f aca="false">IF(B153=0,"",IFERROR(SUMPRODUCT(Normalizacao!$AL$5:$AL$17,Pesos_Indicadores!$I$5:$I$17,((Pesos_Indicadores!$B$5:$B$17=$A$10)*A153+(Pesos_Indicadores!$B$5:$B$17&lt;&gt;$A$10)*Pesos_Indicadores!$G$5:$G$17*(1-A153)/(1-$B$10)),Normalizacao!$AI$5:$AI$17)/B153,""))</f>
        <v>0.67145243310573</v>
      </c>
      <c r="D153" s="60" t="n">
        <f aca="false">IF(B153=0,"",IFERROR(SUMPRODUCT(Normalizacao!$AL$5:$AL$17,Pesos_Indicadores!$I$5:$I$17,((Pesos_Indicadores!$B$5:$B$17=$A$10)*A153+(Pesos_Indicadores!$B$5:$B$17&lt;&gt;$A$10)*Pesos_Indicadores!$G$5:$G$17*(1-A153)/(1-$B$10)),Normalizacao!$AJ$5:$AJ$17)/B153,""))</f>
        <v>0.847084995552441</v>
      </c>
      <c r="E153" s="60" t="n">
        <f aca="false">IF(B153=0,"",IFERROR(SUMPRODUCT(Normalizacao!$AL$5:$AL$17,Pesos_Indicadores!$I$5:$I$17,((Pesos_Indicadores!$B$5:$B$17=$A$10)*A153+(Pesos_Indicadores!$B$5:$B$17&lt;&gt;$A$10)*Pesos_Indicadores!$G$5:$G$17*(1-A153)/(1-$B$10)),Normalizacao!$AK$5:$AK$17)/B153,""))</f>
        <v>0.868862481024916</v>
      </c>
      <c r="F153" s="17" t="str">
        <f aca="false">IF(C153="","",IF(INDEX(C153:E153,$B$5)&gt;=MAX(C153:E153),$B$4,INDEX(Pontuacao!$A$29:$A$31,MATCH(MAX(C153:E153),C153:E153,0))))</f>
        <v>Microsoft Azure</v>
      </c>
      <c r="G153" s="43" t="str">
        <f aca="false">IF(OR(F153="",F153=$B$4,ABS(A153-$B$10)&lt;0.000000001),"",ABS(A153-$B$10))</f>
        <v/>
      </c>
      <c r="I153" s="60" t="n">
        <f aca="false">(ROW()-17)*$B$6</f>
        <v>0.68</v>
      </c>
      <c r="J153" s="43" t="n">
        <f aca="false">IFERROR(SUMPRODUCT(Normalizacao!$AL$5:$AL$17,Pesos_Indicadores!$I$5:$I$17,((Pesos_Indicadores!$B$5:$B$17=$A$11)*I153+(Pesos_Indicadores!$B$5:$B$17&lt;&gt;$A$11)*Pesos_Indicadores!$G$5:$G$17*(1-I153)/(1-$B$11))),0)</f>
        <v>0.843076923076923</v>
      </c>
      <c r="K153" s="60" t="n">
        <f aca="false">IF(J153=0,"",IFERROR(SUMPRODUCT(Normalizacao!$AL$5:$AL$17,Pesos_Indicadores!$I$5:$I$17,((Pesos_Indicadores!$B$5:$B$17=$A$11)*I153+(Pesos_Indicadores!$B$5:$B$17&lt;&gt;$A$11)*Pesos_Indicadores!$G$5:$G$17*(1-I153)/(1-$B$11)),Normalizacao!$AI$5:$AI$17)/J153,""))</f>
        <v>0.807554410462844</v>
      </c>
      <c r="L153" s="60" t="n">
        <f aca="false">IF(J153=0,"",IFERROR(SUMPRODUCT(Normalizacao!$AL$5:$AL$17,Pesos_Indicadores!$I$5:$I$17,((Pesos_Indicadores!$B$5:$B$17=$A$11)*I153+(Pesos_Indicadores!$B$5:$B$17&lt;&gt;$A$11)*Pesos_Indicadores!$G$5:$G$17*(1-I153)/(1-$B$11)),Normalizacao!$AJ$5:$AJ$17)/J153,""))</f>
        <v>0.817285464931768</v>
      </c>
      <c r="M153" s="60" t="n">
        <f aca="false">IF(J153=0,"",IFERROR(SUMPRODUCT(Normalizacao!$AL$5:$AL$17,Pesos_Indicadores!$I$5:$I$17,((Pesos_Indicadores!$B$5:$B$17=$A$11)*I153+(Pesos_Indicadores!$B$5:$B$17&lt;&gt;$A$11)*Pesos_Indicadores!$G$5:$G$17*(1-I153)/(1-$B$11)),Normalizacao!$AK$5:$AK$17)/J153,""))</f>
        <v>0.838614819511148</v>
      </c>
      <c r="N153" s="17" t="str">
        <f aca="false">IF(K153="","",IF(INDEX(K153:M153,$B$5)&gt;=MAX(K153:M153),$B$4,INDEX(Pontuacao!$A$29:$A$31,MATCH(MAX(K153:M153),K153:M153,0))))</f>
        <v>Microsoft Azure</v>
      </c>
      <c r="O153" s="43" t="str">
        <f aca="false">IF(OR(N153="",N153=$B$4,ABS(I153-$B$11)&lt;0.000000001),"",ABS(I153-$B$11))</f>
        <v/>
      </c>
      <c r="Q153" s="60" t="n">
        <f aca="false">(ROW()-17)*$B$6</f>
        <v>0.68</v>
      </c>
      <c r="R153" s="43" t="n">
        <f aca="false">IFERROR(SUMPRODUCT(Normalizacao!$AL$5:$AL$17,Pesos_Indicadores!$I$5:$I$17,((Pesos_Indicadores!$B$5:$B$17=$A$12)*Q153+(Pesos_Indicadores!$B$5:$B$17&lt;&gt;$A$12)*Pesos_Indicadores!$G$5:$G$17*(1-Q153)/(1-$B$12))),0)</f>
        <v>0.963076923076923</v>
      </c>
      <c r="S153" s="60" t="n">
        <f aca="false">IF(R153=0,"",IFERROR(SUMPRODUCT(Normalizacao!$AL$5:$AL$17,Pesos_Indicadores!$I$5:$I$17,((Pesos_Indicadores!$B$5:$B$17=$A$12)*Q153+(Pesos_Indicadores!$B$5:$B$17&lt;&gt;$A$12)*Pesos_Indicadores!$G$5:$G$17*(1-Q153)/(1-$B$12)),Normalizacao!$AI$5:$AI$17)/R153,""))</f>
        <v>0.743129528223949</v>
      </c>
      <c r="T153" s="60" t="n">
        <f aca="false">IF(R153=0,"",IFERROR(SUMPRODUCT(Normalizacao!$AL$5:$AL$17,Pesos_Indicadores!$I$5:$I$17,((Pesos_Indicadores!$B$5:$B$17=$A$12)*Q153+(Pesos_Indicadores!$B$5:$B$17&lt;&gt;$A$12)*Pesos_Indicadores!$G$5:$G$17*(1-Q153)/(1-$B$12)),Normalizacao!$AJ$5:$AJ$17)/R153,""))</f>
        <v>0.785722322544798</v>
      </c>
      <c r="U153" s="60" t="n">
        <f aca="false">IF(R153=0,"",IFERROR(SUMPRODUCT(Normalizacao!$AL$5:$AL$17,Pesos_Indicadores!$I$5:$I$17,((Pesos_Indicadores!$B$5:$B$17=$A$12)*Q153+(Pesos_Indicadores!$B$5:$B$17&lt;&gt;$A$12)*Pesos_Indicadores!$G$5:$G$17*(1-Q153)/(1-$B$12)),Normalizacao!$AK$5:$AK$17)/R153,""))</f>
        <v>0.830691475697091</v>
      </c>
      <c r="V153" s="17" t="str">
        <f aca="false">IF(S153="","",IF(INDEX(S153:U153,$B$5)&gt;=MAX(S153:U153),$B$4,INDEX(Pontuacao!$A$29:$A$31,MATCH(MAX(S153:U153),S153:U153,0))))</f>
        <v>Microsoft Azure</v>
      </c>
      <c r="W153" s="43" t="str">
        <f aca="false">IF(OR(V153="",V153=$B$4,ABS(Q153-$B$12)&lt;0.000000001),"",ABS(Q153-$B$12))</f>
        <v/>
      </c>
    </row>
    <row r="154" customFormat="false" ht="15" hidden="false" customHeight="true" outlineLevel="0" collapsed="false">
      <c r="A154" s="60" t="n">
        <f aca="false">(ROW()-17)*$B$6</f>
        <v>0.685</v>
      </c>
      <c r="B154" s="43" t="n">
        <f aca="false">IFERROR(SUMPRODUCT(Normalizacao!$AL$5:$AL$17,Pesos_Indicadores!$I$5:$I$17,((Pesos_Indicadores!$B$5:$B$17=$A$10)*A154+(Pesos_Indicadores!$B$5:$B$17&lt;&gt;$A$10)*Pesos_Indicadores!$G$5:$G$17*(1-A154)/(1-$B$10))),0)</f>
        <v>0.992730769230769</v>
      </c>
      <c r="C154" s="60" t="n">
        <f aca="false">IF(B154=0,"",IFERROR(SUMPRODUCT(Normalizacao!$AL$5:$AL$17,Pesos_Indicadores!$I$5:$I$17,((Pesos_Indicadores!$B$5:$B$17=$A$10)*A154+(Pesos_Indicadores!$B$5:$B$17&lt;&gt;$A$10)*Pesos_Indicadores!$G$5:$G$17*(1-A154)/(1-$B$10)),Normalizacao!$AI$5:$AI$17)/B154,""))</f>
        <v>0.670827098889153</v>
      </c>
      <c r="D154" s="60" t="n">
        <f aca="false">IF(B154=0,"",IFERROR(SUMPRODUCT(Normalizacao!$AL$5:$AL$17,Pesos_Indicadores!$I$5:$I$17,((Pesos_Indicadores!$B$5:$B$17=$A$10)*A154+(Pesos_Indicadores!$B$5:$B$17&lt;&gt;$A$10)*Pesos_Indicadores!$G$5:$G$17*(1-A154)/(1-$B$10)),Normalizacao!$AJ$5:$AJ$17)/B154,""))</f>
        <v>0.847730513448092</v>
      </c>
      <c r="E154" s="60" t="n">
        <f aca="false">IF(B154=0,"",IFERROR(SUMPRODUCT(Normalizacao!$AL$5:$AL$17,Pesos_Indicadores!$I$5:$I$17,((Pesos_Indicadores!$B$5:$B$17=$A$10)*A154+(Pesos_Indicadores!$B$5:$B$17&lt;&gt;$A$10)*Pesos_Indicadores!$G$5:$G$17*(1-A154)/(1-$B$10)),Normalizacao!$AK$5:$AK$17)/B154,""))</f>
        <v>0.86924915129148</v>
      </c>
      <c r="F154" s="17" t="str">
        <f aca="false">IF(C154="","",IF(INDEX(C154:E154,$B$5)&gt;=MAX(C154:E154),$B$4,INDEX(Pontuacao!$A$29:$A$31,MATCH(MAX(C154:E154),C154:E154,0))))</f>
        <v>Microsoft Azure</v>
      </c>
      <c r="G154" s="43" t="str">
        <f aca="false">IF(OR(F154="",F154=$B$4,ABS(A154-$B$10)&lt;0.000000001),"",ABS(A154-$B$10))</f>
        <v/>
      </c>
      <c r="I154" s="60" t="n">
        <f aca="false">(ROW()-17)*$B$6</f>
        <v>0.685</v>
      </c>
      <c r="J154" s="43" t="n">
        <f aca="false">IFERROR(SUMPRODUCT(Normalizacao!$AL$5:$AL$17,Pesos_Indicadores!$I$5:$I$17,((Pesos_Indicadores!$B$5:$B$17=$A$11)*I154+(Pesos_Indicadores!$B$5:$B$17&lt;&gt;$A$11)*Pesos_Indicadores!$G$5:$G$17*(1-I154)/(1-$B$11))),0)</f>
        <v>0.841923076923077</v>
      </c>
      <c r="K154" s="60" t="n">
        <f aca="false">IF(J154=0,"",IFERROR(SUMPRODUCT(Normalizacao!$AL$5:$AL$17,Pesos_Indicadores!$I$5:$I$17,((Pesos_Indicadores!$B$5:$B$17=$A$11)*I154+(Pesos_Indicadores!$B$5:$B$17&lt;&gt;$A$11)*Pesos_Indicadores!$G$5:$G$17*(1-I154)/(1-$B$11)),Normalizacao!$AI$5:$AI$17)/J154,""))</f>
        <v>0.808160360519051</v>
      </c>
      <c r="L154" s="60" t="n">
        <f aca="false">IF(J154=0,"",IFERROR(SUMPRODUCT(Normalizacao!$AL$5:$AL$17,Pesos_Indicadores!$I$5:$I$17,((Pesos_Indicadores!$B$5:$B$17=$A$11)*I154+(Pesos_Indicadores!$B$5:$B$17&lt;&gt;$A$11)*Pesos_Indicadores!$G$5:$G$17*(1-I154)/(1-$B$11)),Normalizacao!$AJ$5:$AJ$17)/J154,""))</f>
        <v>0.817752495183427</v>
      </c>
      <c r="M154" s="60" t="n">
        <f aca="false">IF(J154=0,"",IFERROR(SUMPRODUCT(Normalizacao!$AL$5:$AL$17,Pesos_Indicadores!$I$5:$I$17,((Pesos_Indicadores!$B$5:$B$17=$A$11)*I154+(Pesos_Indicadores!$B$5:$B$17&lt;&gt;$A$11)*Pesos_Indicadores!$G$5:$G$17*(1-I154)/(1-$B$11)),Normalizacao!$AK$5:$AK$17)/J154,""))</f>
        <v>0.838772213647815</v>
      </c>
      <c r="N154" s="17" t="str">
        <f aca="false">IF(K154="","",IF(INDEX(K154:M154,$B$5)&gt;=MAX(K154:M154),$B$4,INDEX(Pontuacao!$A$29:$A$31,MATCH(MAX(K154:M154),K154:M154,0))))</f>
        <v>Microsoft Azure</v>
      </c>
      <c r="O154" s="43" t="str">
        <f aca="false">IF(OR(N154="",N154=$B$4,ABS(I154-$B$11)&lt;0.000000001),"",ABS(I154-$B$11))</f>
        <v/>
      </c>
      <c r="Q154" s="60" t="n">
        <f aca="false">(ROW()-17)*$B$6</f>
        <v>0.685</v>
      </c>
      <c r="R154" s="43" t="n">
        <f aca="false">IFERROR(SUMPRODUCT(Normalizacao!$AL$5:$AL$17,Pesos_Indicadores!$I$5:$I$17,((Pesos_Indicadores!$B$5:$B$17=$A$12)*Q154+(Pesos_Indicadores!$B$5:$B$17&lt;&gt;$A$12)*Pesos_Indicadores!$G$5:$G$17*(1-Q154)/(1-$B$12))),0)</f>
        <v>0.963653846153846</v>
      </c>
      <c r="S154" s="60" t="n">
        <f aca="false">IF(R154=0,"",IFERROR(SUMPRODUCT(Normalizacao!$AL$5:$AL$17,Pesos_Indicadores!$I$5:$I$17,((Pesos_Indicadores!$B$5:$B$17=$A$12)*Q154+(Pesos_Indicadores!$B$5:$B$17&lt;&gt;$A$12)*Pesos_Indicadores!$G$5:$G$17*(1-Q154)/(1-$B$12)),Normalizacao!$AI$5:$AI$17)/R154,""))</f>
        <v>0.743240928310121</v>
      </c>
      <c r="T154" s="60" t="n">
        <f aca="false">IF(R154=0,"",IFERROR(SUMPRODUCT(Normalizacao!$AL$5:$AL$17,Pesos_Indicadores!$I$5:$I$17,((Pesos_Indicadores!$B$5:$B$17=$A$12)*Q154+(Pesos_Indicadores!$B$5:$B$17&lt;&gt;$A$12)*Pesos_Indicadores!$G$5:$G$17*(1-Q154)/(1-$B$12)),Normalizacao!$AJ$5:$AJ$17)/R154,""))</f>
        <v>0.785143109073083</v>
      </c>
      <c r="U154" s="60" t="n">
        <f aca="false">IF(R154=0,"",IFERROR(SUMPRODUCT(Normalizacao!$AL$5:$AL$17,Pesos_Indicadores!$I$5:$I$17,((Pesos_Indicadores!$B$5:$B$17=$A$12)*Q154+(Pesos_Indicadores!$B$5:$B$17&lt;&gt;$A$12)*Pesos_Indicadores!$G$5:$G$17*(1-Q154)/(1-$B$12)),Normalizacao!$AK$5:$AK$17)/R154,""))</f>
        <v>0.83039651313465</v>
      </c>
      <c r="V154" s="17" t="str">
        <f aca="false">IF(S154="","",IF(INDEX(S154:U154,$B$5)&gt;=MAX(S154:U154),$B$4,INDEX(Pontuacao!$A$29:$A$31,MATCH(MAX(S154:U154),S154:U154,0))))</f>
        <v>Microsoft Azure</v>
      </c>
      <c r="W154" s="43" t="str">
        <f aca="false">IF(OR(V154="",V154=$B$4,ABS(Q154-$B$12)&lt;0.000000001),"",ABS(Q154-$B$12))</f>
        <v/>
      </c>
    </row>
    <row r="155" customFormat="false" ht="15" hidden="false" customHeight="true" outlineLevel="0" collapsed="false">
      <c r="A155" s="60" t="n">
        <f aca="false">(ROW()-17)*$B$6</f>
        <v>0.69</v>
      </c>
      <c r="B155" s="43" t="n">
        <f aca="false">IFERROR(SUMPRODUCT(Normalizacao!$AL$5:$AL$17,Pesos_Indicadores!$I$5:$I$17,((Pesos_Indicadores!$B$5:$B$17=$A$10)*A155+(Pesos_Indicadores!$B$5:$B$17&lt;&gt;$A$10)*Pesos_Indicadores!$G$5:$G$17*(1-A155)/(1-$B$10))),0)</f>
        <v>0.992846153846154</v>
      </c>
      <c r="C155" s="60" t="n">
        <f aca="false">IF(B155=0,"",IFERROR(SUMPRODUCT(Normalizacao!$AL$5:$AL$17,Pesos_Indicadores!$I$5:$I$17,((Pesos_Indicadores!$B$5:$B$17=$A$10)*A155+(Pesos_Indicadores!$B$5:$B$17&lt;&gt;$A$10)*Pesos_Indicadores!$G$5:$G$17*(1-A155)/(1-$B$10)),Normalizacao!$AI$5:$AI$17)/B155,""))</f>
        <v>0.670201910020266</v>
      </c>
      <c r="D155" s="60" t="n">
        <f aca="false">IF(B155=0,"",IFERROR(SUMPRODUCT(Normalizacao!$AL$5:$AL$17,Pesos_Indicadores!$I$5:$I$17,((Pesos_Indicadores!$B$5:$B$17=$A$10)*A155+(Pesos_Indicadores!$B$5:$B$17&lt;&gt;$A$10)*Pesos_Indicadores!$G$5:$G$17*(1-A155)/(1-$B$10)),Normalizacao!$AJ$5:$AJ$17)/B155,""))</f>
        <v>0.848375881304718</v>
      </c>
      <c r="E155" s="60" t="n">
        <f aca="false">IF(B155=0,"",IFERROR(SUMPRODUCT(Normalizacao!$AL$5:$AL$17,Pesos_Indicadores!$I$5:$I$17,((Pesos_Indicadores!$B$5:$B$17=$A$10)*A155+(Pesos_Indicadores!$B$5:$B$17&lt;&gt;$A$10)*Pesos_Indicadores!$G$5:$G$17*(1-A155)/(1-$B$10)),Normalizacao!$AK$5:$AK$17)/B155,""))</f>
        <v>0.869635731683496</v>
      </c>
      <c r="F155" s="17" t="str">
        <f aca="false">IF(C155="","",IF(INDEX(C155:E155,$B$5)&gt;=MAX(C155:E155),$B$4,INDEX(Pontuacao!$A$29:$A$31,MATCH(MAX(C155:E155),C155:E155,0))))</f>
        <v>Microsoft Azure</v>
      </c>
      <c r="G155" s="43" t="str">
        <f aca="false">IF(OR(F155="",F155=$B$4,ABS(A155-$B$10)&lt;0.000000001),"",ABS(A155-$B$10))</f>
        <v/>
      </c>
      <c r="I155" s="60" t="n">
        <f aca="false">(ROW()-17)*$B$6</f>
        <v>0.69</v>
      </c>
      <c r="J155" s="43" t="n">
        <f aca="false">IFERROR(SUMPRODUCT(Normalizacao!$AL$5:$AL$17,Pesos_Indicadores!$I$5:$I$17,((Pesos_Indicadores!$B$5:$B$17=$A$11)*I155+(Pesos_Indicadores!$B$5:$B$17&lt;&gt;$A$11)*Pesos_Indicadores!$G$5:$G$17*(1-I155)/(1-$B$11))),0)</f>
        <v>0.840769230769231</v>
      </c>
      <c r="K155" s="60" t="n">
        <f aca="false">IF(J155=0,"",IFERROR(SUMPRODUCT(Normalizacao!$AL$5:$AL$17,Pesos_Indicadores!$I$5:$I$17,((Pesos_Indicadores!$B$5:$B$17=$A$11)*I155+(Pesos_Indicadores!$B$5:$B$17&lt;&gt;$A$11)*Pesos_Indicadores!$G$5:$G$17*(1-I155)/(1-$B$11)),Normalizacao!$AI$5:$AI$17)/J155,""))</f>
        <v>0.80876797375016</v>
      </c>
      <c r="L155" s="60" t="n">
        <f aca="false">IF(J155=0,"",IFERROR(SUMPRODUCT(Normalizacao!$AL$5:$AL$17,Pesos_Indicadores!$I$5:$I$17,((Pesos_Indicadores!$B$5:$B$17=$A$11)*I155+(Pesos_Indicadores!$B$5:$B$17&lt;&gt;$A$11)*Pesos_Indicadores!$G$5:$G$17*(1-I155)/(1-$B$11)),Normalizacao!$AJ$5:$AJ$17)/J155,""))</f>
        <v>0.818220807311349</v>
      </c>
      <c r="M155" s="60" t="n">
        <f aca="false">IF(J155=0,"",IFERROR(SUMPRODUCT(Normalizacao!$AL$5:$AL$17,Pesos_Indicadores!$I$5:$I$17,((Pesos_Indicadores!$B$5:$B$17=$A$11)*I155+(Pesos_Indicadores!$B$5:$B$17&lt;&gt;$A$11)*Pesos_Indicadores!$G$5:$G$17*(1-I155)/(1-$B$11)),Normalizacao!$AK$5:$AK$17)/J155,""))</f>
        <v>0.838930039790347</v>
      </c>
      <c r="N155" s="17" t="str">
        <f aca="false">IF(K155="","",IF(INDEX(K155:M155,$B$5)&gt;=MAX(K155:M155),$B$4,INDEX(Pontuacao!$A$29:$A$31,MATCH(MAX(K155:M155),K155:M155,0))))</f>
        <v>Microsoft Azure</v>
      </c>
      <c r="O155" s="43" t="str">
        <f aca="false">IF(OR(N155="",N155=$B$4,ABS(I155-$B$11)&lt;0.000000001),"",ABS(I155-$B$11))</f>
        <v/>
      </c>
      <c r="Q155" s="60" t="n">
        <f aca="false">(ROW()-17)*$B$6</f>
        <v>0.69</v>
      </c>
      <c r="R155" s="43" t="n">
        <f aca="false">IFERROR(SUMPRODUCT(Normalizacao!$AL$5:$AL$17,Pesos_Indicadores!$I$5:$I$17,((Pesos_Indicadores!$B$5:$B$17=$A$12)*Q155+(Pesos_Indicadores!$B$5:$B$17&lt;&gt;$A$12)*Pesos_Indicadores!$G$5:$G$17*(1-Q155)/(1-$B$12))),0)</f>
        <v>0.964230769230769</v>
      </c>
      <c r="S155" s="60" t="n">
        <f aca="false">IF(R155=0,"",IFERROR(SUMPRODUCT(Normalizacao!$AL$5:$AL$17,Pesos_Indicadores!$I$5:$I$17,((Pesos_Indicadores!$B$5:$B$17=$A$12)*Q155+(Pesos_Indicadores!$B$5:$B$17&lt;&gt;$A$12)*Pesos_Indicadores!$G$5:$G$17*(1-Q155)/(1-$B$12)),Normalizacao!$AI$5:$AI$17)/R155,""))</f>
        <v>0.743352195089448</v>
      </c>
      <c r="T155" s="60" t="n">
        <f aca="false">IF(R155=0,"",IFERROR(SUMPRODUCT(Normalizacao!$AL$5:$AL$17,Pesos_Indicadores!$I$5:$I$17,((Pesos_Indicadores!$B$5:$B$17=$A$12)*Q155+(Pesos_Indicadores!$B$5:$B$17&lt;&gt;$A$12)*Pesos_Indicadores!$G$5:$G$17*(1-Q155)/(1-$B$12)),Normalizacao!$AJ$5:$AJ$17)/R155,""))</f>
        <v>0.784564588716811</v>
      </c>
      <c r="U155" s="60" t="n">
        <f aca="false">IF(R155=0,"",IFERROR(SUMPRODUCT(Normalizacao!$AL$5:$AL$17,Pesos_Indicadores!$I$5:$I$17,((Pesos_Indicadores!$B$5:$B$17=$A$12)*Q155+(Pesos_Indicadores!$B$5:$B$17&lt;&gt;$A$12)*Pesos_Indicadores!$G$5:$G$17*(1-Q155)/(1-$B$12)),Normalizacao!$AK$5:$AK$17)/R155,""))</f>
        <v>0.830101903538978</v>
      </c>
      <c r="V155" s="17" t="str">
        <f aca="false">IF(S155="","",IF(INDEX(S155:U155,$B$5)&gt;=MAX(S155:U155),$B$4,INDEX(Pontuacao!$A$29:$A$31,MATCH(MAX(S155:U155),S155:U155,0))))</f>
        <v>Microsoft Azure</v>
      </c>
      <c r="W155" s="43" t="str">
        <f aca="false">IF(OR(V155="",V155=$B$4,ABS(Q155-$B$12)&lt;0.000000001),"",ABS(Q155-$B$12))</f>
        <v/>
      </c>
    </row>
    <row r="156" customFormat="false" ht="15" hidden="false" customHeight="true" outlineLevel="0" collapsed="false">
      <c r="A156" s="60" t="n">
        <f aca="false">(ROW()-17)*$B$6</f>
        <v>0.695</v>
      </c>
      <c r="B156" s="43" t="n">
        <f aca="false">IFERROR(SUMPRODUCT(Normalizacao!$AL$5:$AL$17,Pesos_Indicadores!$I$5:$I$17,((Pesos_Indicadores!$B$5:$B$17=$A$10)*A156+(Pesos_Indicadores!$B$5:$B$17&lt;&gt;$A$10)*Pesos_Indicadores!$G$5:$G$17*(1-A156)/(1-$B$10))),0)</f>
        <v>0.992961538461539</v>
      </c>
      <c r="C156" s="60" t="n">
        <f aca="false">IF(B156=0,"",IFERROR(SUMPRODUCT(Normalizacao!$AL$5:$AL$17,Pesos_Indicadores!$I$5:$I$17,((Pesos_Indicadores!$B$5:$B$17=$A$10)*A156+(Pesos_Indicadores!$B$5:$B$17&lt;&gt;$A$10)*Pesos_Indicadores!$G$5:$G$17*(1-A156)/(1-$B$10)),Normalizacao!$AI$5:$AI$17)/B156,""))</f>
        <v>0.669576866448402</v>
      </c>
      <c r="D156" s="60" t="n">
        <f aca="false">IF(B156=0,"",IFERROR(SUMPRODUCT(Normalizacao!$AL$5:$AL$17,Pesos_Indicadores!$I$5:$I$17,((Pesos_Indicadores!$B$5:$B$17=$A$10)*A156+(Pesos_Indicadores!$B$5:$B$17&lt;&gt;$A$10)*Pesos_Indicadores!$G$5:$G$17*(1-A156)/(1-$B$10)),Normalizacao!$AJ$5:$AJ$17)/B156,""))</f>
        <v>0.849021099174625</v>
      </c>
      <c r="E156" s="60" t="n">
        <f aca="false">IF(B156=0,"",IFERROR(SUMPRODUCT(Normalizacao!$AL$5:$AL$17,Pesos_Indicadores!$I$5:$I$17,((Pesos_Indicadores!$B$5:$B$17=$A$10)*A156+(Pesos_Indicadores!$B$5:$B$17&lt;&gt;$A$10)*Pesos_Indicadores!$G$5:$G$17*(1-A156)/(1-$B$10)),Normalizacao!$AK$5:$AK$17)/B156,""))</f>
        <v>0.870022222232294</v>
      </c>
      <c r="F156" s="17" t="str">
        <f aca="false">IF(C156="","",IF(INDEX(C156:E156,$B$5)&gt;=MAX(C156:E156),$B$4,INDEX(Pontuacao!$A$29:$A$31,MATCH(MAX(C156:E156),C156:E156,0))))</f>
        <v>Microsoft Azure</v>
      </c>
      <c r="G156" s="43" t="str">
        <f aca="false">IF(OR(F156="",F156=$B$4,ABS(A156-$B$10)&lt;0.000000001),"",ABS(A156-$B$10))</f>
        <v/>
      </c>
      <c r="I156" s="60" t="n">
        <f aca="false">(ROW()-17)*$B$6</f>
        <v>0.695</v>
      </c>
      <c r="J156" s="43" t="n">
        <f aca="false">IFERROR(SUMPRODUCT(Normalizacao!$AL$5:$AL$17,Pesos_Indicadores!$I$5:$I$17,((Pesos_Indicadores!$B$5:$B$17=$A$11)*I156+(Pesos_Indicadores!$B$5:$B$17&lt;&gt;$A$11)*Pesos_Indicadores!$G$5:$G$17*(1-I156)/(1-$B$11))),0)</f>
        <v>0.839615384615385</v>
      </c>
      <c r="K156" s="60" t="n">
        <f aca="false">IF(J156=0,"",IFERROR(SUMPRODUCT(Normalizacao!$AL$5:$AL$17,Pesos_Indicadores!$I$5:$I$17,((Pesos_Indicadores!$B$5:$B$17=$A$11)*I156+(Pesos_Indicadores!$B$5:$B$17&lt;&gt;$A$11)*Pesos_Indicadores!$G$5:$G$17*(1-I156)/(1-$B$11)),Normalizacao!$AI$5:$AI$17)/J156,""))</f>
        <v>0.809377257013054</v>
      </c>
      <c r="L156" s="60" t="n">
        <f aca="false">IF(J156=0,"",IFERROR(SUMPRODUCT(Normalizacao!$AL$5:$AL$17,Pesos_Indicadores!$I$5:$I$17,((Pesos_Indicadores!$B$5:$B$17=$A$11)*I156+(Pesos_Indicadores!$B$5:$B$17&lt;&gt;$A$11)*Pesos_Indicadores!$G$5:$G$17*(1-I156)/(1-$B$11)),Normalizacao!$AJ$5:$AJ$17)/J156,""))</f>
        <v>0.81869040660041</v>
      </c>
      <c r="M156" s="60" t="n">
        <f aca="false">IF(J156=0,"",IFERROR(SUMPRODUCT(Normalizacao!$AL$5:$AL$17,Pesos_Indicadores!$I$5:$I$17,((Pesos_Indicadores!$B$5:$B$17=$A$11)*I156+(Pesos_Indicadores!$B$5:$B$17&lt;&gt;$A$11)*Pesos_Indicadores!$G$5:$G$17*(1-I156)/(1-$B$11)),Normalizacao!$AK$5:$AK$17)/J156,""))</f>
        <v>0.839088299719803</v>
      </c>
      <c r="N156" s="17" t="str">
        <f aca="false">IF(K156="","",IF(INDEX(K156:M156,$B$5)&gt;=MAX(K156:M156),$B$4,INDEX(Pontuacao!$A$29:$A$31,MATCH(MAX(K156:M156),K156:M156,0))))</f>
        <v>Microsoft Azure</v>
      </c>
      <c r="O156" s="43" t="str">
        <f aca="false">IF(OR(N156="",N156=$B$4,ABS(I156-$B$11)&lt;0.000000001),"",ABS(I156-$B$11))</f>
        <v/>
      </c>
      <c r="Q156" s="60" t="n">
        <f aca="false">(ROW()-17)*$B$6</f>
        <v>0.695</v>
      </c>
      <c r="R156" s="43" t="n">
        <f aca="false">IFERROR(SUMPRODUCT(Normalizacao!$AL$5:$AL$17,Pesos_Indicadores!$I$5:$I$17,((Pesos_Indicadores!$B$5:$B$17=$A$12)*Q156+(Pesos_Indicadores!$B$5:$B$17&lt;&gt;$A$12)*Pesos_Indicadores!$G$5:$G$17*(1-Q156)/(1-$B$12))),0)</f>
        <v>0.964807692307692</v>
      </c>
      <c r="S156" s="60" t="n">
        <f aca="false">IF(R156=0,"",IFERROR(SUMPRODUCT(Normalizacao!$AL$5:$AL$17,Pesos_Indicadores!$I$5:$I$17,((Pesos_Indicadores!$B$5:$B$17=$A$12)*Q156+(Pesos_Indicadores!$B$5:$B$17&lt;&gt;$A$12)*Pesos_Indicadores!$G$5:$G$17*(1-Q156)/(1-$B$12)),Normalizacao!$AI$5:$AI$17)/R156,""))</f>
        <v>0.74346332880107</v>
      </c>
      <c r="T156" s="60" t="n">
        <f aca="false">IF(R156=0,"",IFERROR(SUMPRODUCT(Normalizacao!$AL$5:$AL$17,Pesos_Indicadores!$I$5:$I$17,((Pesos_Indicadores!$B$5:$B$17=$A$12)*Q156+(Pesos_Indicadores!$B$5:$B$17&lt;&gt;$A$12)*Pesos_Indicadores!$G$5:$G$17*(1-Q156)/(1-$B$12)),Normalizacao!$AJ$5:$AJ$17)/R156,""))</f>
        <v>0.7839867602326</v>
      </c>
      <c r="U156" s="60" t="n">
        <f aca="false">IF(R156=0,"",IFERROR(SUMPRODUCT(Normalizacao!$AL$5:$AL$17,Pesos_Indicadores!$I$5:$I$17,((Pesos_Indicadores!$B$5:$B$17=$A$12)*Q156+(Pesos_Indicadores!$B$5:$B$17&lt;&gt;$A$12)*Pesos_Indicadores!$G$5:$G$17*(1-Q156)/(1-$B$12)),Normalizacao!$AK$5:$AK$17)/R156,""))</f>
        <v>0.829807646276886</v>
      </c>
      <c r="V156" s="17" t="str">
        <f aca="false">IF(S156="","",IF(INDEX(S156:U156,$B$5)&gt;=MAX(S156:U156),$B$4,INDEX(Pontuacao!$A$29:$A$31,MATCH(MAX(S156:U156),S156:U156,0))))</f>
        <v>Microsoft Azure</v>
      </c>
      <c r="W156" s="43" t="str">
        <f aca="false">IF(OR(V156="",V156=$B$4,ABS(Q156-$B$12)&lt;0.000000001),"",ABS(Q156-$B$12))</f>
        <v/>
      </c>
    </row>
    <row r="157" customFormat="false" ht="15" hidden="false" customHeight="true" outlineLevel="0" collapsed="false">
      <c r="A157" s="60" t="n">
        <f aca="false">(ROW()-17)*$B$6</f>
        <v>0.7</v>
      </c>
      <c r="B157" s="43" t="n">
        <f aca="false">IFERROR(SUMPRODUCT(Normalizacao!$AL$5:$AL$17,Pesos_Indicadores!$I$5:$I$17,((Pesos_Indicadores!$B$5:$B$17=$A$10)*A157+(Pesos_Indicadores!$B$5:$B$17&lt;&gt;$A$10)*Pesos_Indicadores!$G$5:$G$17*(1-A157)/(1-$B$10))),0)</f>
        <v>0.993076923076923</v>
      </c>
      <c r="C157" s="60" t="n">
        <f aca="false">IF(B157=0,"",IFERROR(SUMPRODUCT(Normalizacao!$AL$5:$AL$17,Pesos_Indicadores!$I$5:$I$17,((Pesos_Indicadores!$B$5:$B$17=$A$10)*A157+(Pesos_Indicadores!$B$5:$B$17&lt;&gt;$A$10)*Pesos_Indicadores!$G$5:$G$17*(1-A157)/(1-$B$10)),Normalizacao!$AI$5:$AI$17)/B157,""))</f>
        <v>0.668951968122914</v>
      </c>
      <c r="D157" s="60" t="n">
        <f aca="false">IF(B157=0,"",IFERROR(SUMPRODUCT(Normalizacao!$AL$5:$AL$17,Pesos_Indicadores!$I$5:$I$17,((Pesos_Indicadores!$B$5:$B$17=$A$10)*A157+(Pesos_Indicadores!$B$5:$B$17&lt;&gt;$A$10)*Pesos_Indicadores!$G$5:$G$17*(1-A157)/(1-$B$10)),Normalizacao!$AJ$5:$AJ$17)/B157,""))</f>
        <v>0.849666167110093</v>
      </c>
      <c r="E157" s="60" t="n">
        <f aca="false">IF(B157=0,"",IFERROR(SUMPRODUCT(Normalizacao!$AL$5:$AL$17,Pesos_Indicadores!$I$5:$I$17,((Pesos_Indicadores!$B$5:$B$17=$A$10)*A157+(Pesos_Indicadores!$B$5:$B$17&lt;&gt;$A$10)*Pesos_Indicadores!$G$5:$G$17*(1-A157)/(1-$B$10)),Normalizacao!$AK$5:$AK$17)/B157,""))</f>
        <v>0.870408622969191</v>
      </c>
      <c r="F157" s="17" t="str">
        <f aca="false">IF(C157="","",IF(INDEX(C157:E157,$B$5)&gt;=MAX(C157:E157),$B$4,INDEX(Pontuacao!$A$29:$A$31,MATCH(MAX(C157:E157),C157:E157,0))))</f>
        <v>Microsoft Azure</v>
      </c>
      <c r="G157" s="43" t="str">
        <f aca="false">IF(OR(F157="",F157=$B$4,ABS(A157-$B$10)&lt;0.000000001),"",ABS(A157-$B$10))</f>
        <v/>
      </c>
      <c r="I157" s="60" t="n">
        <f aca="false">(ROW()-17)*$B$6</f>
        <v>0.7</v>
      </c>
      <c r="J157" s="43" t="n">
        <f aca="false">IFERROR(SUMPRODUCT(Normalizacao!$AL$5:$AL$17,Pesos_Indicadores!$I$5:$I$17,((Pesos_Indicadores!$B$5:$B$17=$A$11)*I157+(Pesos_Indicadores!$B$5:$B$17&lt;&gt;$A$11)*Pesos_Indicadores!$G$5:$G$17*(1-I157)/(1-$B$11))),0)</f>
        <v>0.838461538461539</v>
      </c>
      <c r="K157" s="60" t="n">
        <f aca="false">IF(J157=0,"",IFERROR(SUMPRODUCT(Normalizacao!$AL$5:$AL$17,Pesos_Indicadores!$I$5:$I$17,((Pesos_Indicadores!$B$5:$B$17=$A$11)*I157+(Pesos_Indicadores!$B$5:$B$17&lt;&gt;$A$11)*Pesos_Indicadores!$G$5:$G$17*(1-I157)/(1-$B$11)),Normalizacao!$AI$5:$AI$17)/J157,""))</f>
        <v>0.80998821720236</v>
      </c>
      <c r="L157" s="60" t="n">
        <f aca="false">IF(J157=0,"",IFERROR(SUMPRODUCT(Normalizacao!$AL$5:$AL$17,Pesos_Indicadores!$I$5:$I$17,((Pesos_Indicadores!$B$5:$B$17=$A$11)*I157+(Pesos_Indicadores!$B$5:$B$17&lt;&gt;$A$11)*Pesos_Indicadores!$G$5:$G$17*(1-I157)/(1-$B$11)),Normalizacao!$AJ$5:$AJ$17)/J157,""))</f>
        <v>0.819161298364579</v>
      </c>
      <c r="M157" s="60" t="n">
        <f aca="false">IF(J157=0,"",IFERROR(SUMPRODUCT(Normalizacao!$AL$5:$AL$17,Pesos_Indicadores!$I$5:$I$17,((Pesos_Indicadores!$B$5:$B$17=$A$11)*I157+(Pesos_Indicadores!$B$5:$B$17&lt;&gt;$A$11)*Pesos_Indicadores!$G$5:$G$17*(1-I157)/(1-$B$11)),Normalizacao!$AK$5:$AK$17)/J157,""))</f>
        <v>0.839246995227046</v>
      </c>
      <c r="N157" s="17" t="str">
        <f aca="false">IF(K157="","",IF(INDEX(K157:M157,$B$5)&gt;=MAX(K157:M157),$B$4,INDEX(Pontuacao!$A$29:$A$31,MATCH(MAX(K157:M157),K157:M157,0))))</f>
        <v>Microsoft Azure</v>
      </c>
      <c r="O157" s="43" t="str">
        <f aca="false">IF(OR(N157="",N157=$B$4,ABS(I157-$B$11)&lt;0.000000001),"",ABS(I157-$B$11))</f>
        <v/>
      </c>
      <c r="Q157" s="60" t="n">
        <f aca="false">(ROW()-17)*$B$6</f>
        <v>0.7</v>
      </c>
      <c r="R157" s="43" t="n">
        <f aca="false">IFERROR(SUMPRODUCT(Normalizacao!$AL$5:$AL$17,Pesos_Indicadores!$I$5:$I$17,((Pesos_Indicadores!$B$5:$B$17=$A$12)*Q157+(Pesos_Indicadores!$B$5:$B$17&lt;&gt;$A$12)*Pesos_Indicadores!$G$5:$G$17*(1-Q157)/(1-$B$12))),0)</f>
        <v>0.965384615384615</v>
      </c>
      <c r="S157" s="60" t="n">
        <f aca="false">IF(R157=0,"",IFERROR(SUMPRODUCT(Normalizacao!$AL$5:$AL$17,Pesos_Indicadores!$I$5:$I$17,((Pesos_Indicadores!$B$5:$B$17=$A$12)*Q157+(Pesos_Indicadores!$B$5:$B$17&lt;&gt;$A$12)*Pesos_Indicadores!$G$5:$G$17*(1-Q157)/(1-$B$12)),Normalizacao!$AI$5:$AI$17)/R157,""))</f>
        <v>0.743574329683554</v>
      </c>
      <c r="T157" s="60" t="n">
        <f aca="false">IF(R157=0,"",IFERROR(SUMPRODUCT(Normalizacao!$AL$5:$AL$17,Pesos_Indicadores!$I$5:$I$17,((Pesos_Indicadores!$B$5:$B$17=$A$12)*Q157+(Pesos_Indicadores!$B$5:$B$17&lt;&gt;$A$12)*Pesos_Indicadores!$G$5:$G$17*(1-Q157)/(1-$B$12)),Normalizacao!$AJ$5:$AJ$17)/R157,""))</f>
        <v>0.783409622380045</v>
      </c>
      <c r="U157" s="60" t="n">
        <f aca="false">IF(R157=0,"",IFERROR(SUMPRODUCT(Normalizacao!$AL$5:$AL$17,Pesos_Indicadores!$I$5:$I$17,((Pesos_Indicadores!$B$5:$B$17=$A$12)*Q157+(Pesos_Indicadores!$B$5:$B$17&lt;&gt;$A$12)*Pesos_Indicadores!$G$5:$G$17*(1-Q157)/(1-$B$12)),Normalizacao!$AK$5:$AK$17)/R157,""))</f>
        <v>0.829513740716701</v>
      </c>
      <c r="V157" s="17" t="str">
        <f aca="false">IF(S157="","",IF(INDEX(S157:U157,$B$5)&gt;=MAX(S157:U157),$B$4,INDEX(Pontuacao!$A$29:$A$31,MATCH(MAX(S157:U157),S157:U157,0))))</f>
        <v>Microsoft Azure</v>
      </c>
      <c r="W157" s="43" t="str">
        <f aca="false">IF(OR(V157="",V157=$B$4,ABS(Q157-$B$12)&lt;0.000000001),"",ABS(Q157-$B$12))</f>
        <v/>
      </c>
    </row>
    <row r="158" customFormat="false" ht="15" hidden="false" customHeight="true" outlineLevel="0" collapsed="false">
      <c r="A158" s="60" t="n">
        <f aca="false">(ROW()-17)*$B$6</f>
        <v>0.705</v>
      </c>
      <c r="B158" s="43" t="n">
        <f aca="false">IFERROR(SUMPRODUCT(Normalizacao!$AL$5:$AL$17,Pesos_Indicadores!$I$5:$I$17,((Pesos_Indicadores!$B$5:$B$17=$A$10)*A158+(Pesos_Indicadores!$B$5:$B$17&lt;&gt;$A$10)*Pesos_Indicadores!$G$5:$G$17*(1-A158)/(1-$B$10))),0)</f>
        <v>0.993192307692308</v>
      </c>
      <c r="C158" s="60" t="n">
        <f aca="false">IF(B158=0,"",IFERROR(SUMPRODUCT(Normalizacao!$AL$5:$AL$17,Pesos_Indicadores!$I$5:$I$17,((Pesos_Indicadores!$B$5:$B$17=$A$10)*A158+(Pesos_Indicadores!$B$5:$B$17&lt;&gt;$A$10)*Pesos_Indicadores!$G$5:$G$17*(1-A158)/(1-$B$10)),Normalizacao!$AI$5:$AI$17)/B158,""))</f>
        <v>0.66832721499318</v>
      </c>
      <c r="D158" s="60" t="n">
        <f aca="false">IF(B158=0,"",IFERROR(SUMPRODUCT(Normalizacao!$AL$5:$AL$17,Pesos_Indicadores!$I$5:$I$17,((Pesos_Indicadores!$B$5:$B$17=$A$10)*A158+(Pesos_Indicadores!$B$5:$B$17&lt;&gt;$A$10)*Pesos_Indicadores!$G$5:$G$17*(1-A158)/(1-$B$10)),Normalizacao!$AJ$5:$AJ$17)/B158,""))</f>
        <v>0.850311085163378</v>
      </c>
      <c r="E158" s="60" t="n">
        <f aca="false">IF(B158=0,"",IFERROR(SUMPRODUCT(Normalizacao!$AL$5:$AL$17,Pesos_Indicadores!$I$5:$I$17,((Pesos_Indicadores!$B$5:$B$17=$A$10)*A158+(Pesos_Indicadores!$B$5:$B$17&lt;&gt;$A$10)*Pesos_Indicadores!$G$5:$G$17*(1-A158)/(1-$B$10)),Normalizacao!$AK$5:$AK$17)/B158,""))</f>
        <v>0.870794933925488</v>
      </c>
      <c r="F158" s="17" t="str">
        <f aca="false">IF(C158="","",IF(INDEX(C158:E158,$B$5)&gt;=MAX(C158:E158),$B$4,INDEX(Pontuacao!$A$29:$A$31,MATCH(MAX(C158:E158),C158:E158,0))))</f>
        <v>Microsoft Azure</v>
      </c>
      <c r="G158" s="43" t="str">
        <f aca="false">IF(OR(F158="",F158=$B$4,ABS(A158-$B$10)&lt;0.000000001),"",ABS(A158-$B$10))</f>
        <v/>
      </c>
      <c r="I158" s="60" t="n">
        <f aca="false">(ROW()-17)*$B$6</f>
        <v>0.705</v>
      </c>
      <c r="J158" s="43" t="n">
        <f aca="false">IFERROR(SUMPRODUCT(Normalizacao!$AL$5:$AL$17,Pesos_Indicadores!$I$5:$I$17,((Pesos_Indicadores!$B$5:$B$17=$A$11)*I158+(Pesos_Indicadores!$B$5:$B$17&lt;&gt;$A$11)*Pesos_Indicadores!$G$5:$G$17*(1-I158)/(1-$B$11))),0)</f>
        <v>0.837307692307692</v>
      </c>
      <c r="K158" s="60" t="n">
        <f aca="false">IF(J158=0,"",IFERROR(SUMPRODUCT(Normalizacao!$AL$5:$AL$17,Pesos_Indicadores!$I$5:$I$17,((Pesos_Indicadores!$B$5:$B$17=$A$11)*I158+(Pesos_Indicadores!$B$5:$B$17&lt;&gt;$A$11)*Pesos_Indicadores!$G$5:$G$17*(1-I158)/(1-$B$11)),Normalizacao!$AI$5:$AI$17)/J158,""))</f>
        <v>0.810600861250708</v>
      </c>
      <c r="L158" s="60" t="n">
        <f aca="false">IF(J158=0,"",IFERROR(SUMPRODUCT(Normalizacao!$AL$5:$AL$17,Pesos_Indicadores!$I$5:$I$17,((Pesos_Indicadores!$B$5:$B$17=$A$11)*I158+(Pesos_Indicadores!$B$5:$B$17&lt;&gt;$A$11)*Pesos_Indicadores!$G$5:$G$17*(1-I158)/(1-$B$11)),Normalizacao!$AJ$5:$AJ$17)/J158,""))</f>
        <v>0.819633487947115</v>
      </c>
      <c r="M158" s="60" t="n">
        <f aca="false">IF(J158=0,"",IFERROR(SUMPRODUCT(Normalizacao!$AL$5:$AL$17,Pesos_Indicadores!$I$5:$I$17,((Pesos_Indicadores!$B$5:$B$17=$A$11)*I158+(Pesos_Indicadores!$B$5:$B$17&lt;&gt;$A$11)*Pesos_Indicadores!$G$5:$G$17*(1-I158)/(1-$B$11)),Normalizacao!$AK$5:$AK$17)/J158,""))</f>
        <v>0.839406128112812</v>
      </c>
      <c r="N158" s="17" t="str">
        <f aca="false">IF(K158="","",IF(INDEX(K158:M158,$B$5)&gt;=MAX(K158:M158),$B$4,INDEX(Pontuacao!$A$29:$A$31,MATCH(MAX(K158:M158),K158:M158,0))))</f>
        <v>Microsoft Azure</v>
      </c>
      <c r="O158" s="43" t="str">
        <f aca="false">IF(OR(N158="",N158=$B$4,ABS(I158-$B$11)&lt;0.000000001),"",ABS(I158-$B$11))</f>
        <v/>
      </c>
      <c r="Q158" s="60" t="n">
        <f aca="false">(ROW()-17)*$B$6</f>
        <v>0.705</v>
      </c>
      <c r="R158" s="43" t="n">
        <f aca="false">IFERROR(SUMPRODUCT(Normalizacao!$AL$5:$AL$17,Pesos_Indicadores!$I$5:$I$17,((Pesos_Indicadores!$B$5:$B$17=$A$12)*Q158+(Pesos_Indicadores!$B$5:$B$17&lt;&gt;$A$12)*Pesos_Indicadores!$G$5:$G$17*(1-Q158)/(1-$B$12))),0)</f>
        <v>0.965961538461539</v>
      </c>
      <c r="S158" s="60" t="n">
        <f aca="false">IF(R158=0,"",IFERROR(SUMPRODUCT(Normalizacao!$AL$5:$AL$17,Pesos_Indicadores!$I$5:$I$17,((Pesos_Indicadores!$B$5:$B$17=$A$12)*Q158+(Pesos_Indicadores!$B$5:$B$17&lt;&gt;$A$12)*Pesos_Indicadores!$G$5:$G$17*(1-Q158)/(1-$B$12)),Normalizacao!$AI$5:$AI$17)/R158,""))</f>
        <v>0.743685197974899</v>
      </c>
      <c r="T158" s="60" t="n">
        <f aca="false">IF(R158=0,"",IFERROR(SUMPRODUCT(Normalizacao!$AL$5:$AL$17,Pesos_Indicadores!$I$5:$I$17,((Pesos_Indicadores!$B$5:$B$17=$A$12)*Q158+(Pesos_Indicadores!$B$5:$B$17&lt;&gt;$A$12)*Pesos_Indicadores!$G$5:$G$17*(1-Q158)/(1-$B$12)),Normalizacao!$AJ$5:$AJ$17)/R158,""))</f>
        <v>0.782833173921699</v>
      </c>
      <c r="U158" s="60" t="n">
        <f aca="false">IF(R158=0,"",IFERROR(SUMPRODUCT(Normalizacao!$AL$5:$AL$17,Pesos_Indicadores!$I$5:$I$17,((Pesos_Indicadores!$B$5:$B$17=$A$12)*Q158+(Pesos_Indicadores!$B$5:$B$17&lt;&gt;$A$12)*Pesos_Indicadores!$G$5:$G$17*(1-Q158)/(1-$B$12)),Normalizacao!$AK$5:$AK$17)/R158,""))</f>
        <v>0.829220186228259</v>
      </c>
      <c r="V158" s="17" t="str">
        <f aca="false">IF(S158="","",IF(INDEX(S158:U158,$B$5)&gt;=MAX(S158:U158),$B$4,INDEX(Pontuacao!$A$29:$A$31,MATCH(MAX(S158:U158),S158:U158,0))))</f>
        <v>Microsoft Azure</v>
      </c>
      <c r="W158" s="43" t="str">
        <f aca="false">IF(OR(V158="",V158=$B$4,ABS(Q158-$B$12)&lt;0.000000001),"",ABS(Q158-$B$12))</f>
        <v/>
      </c>
    </row>
    <row r="159" customFormat="false" ht="15" hidden="false" customHeight="true" outlineLevel="0" collapsed="false">
      <c r="A159" s="60" t="n">
        <f aca="false">(ROW()-17)*$B$6</f>
        <v>0.71</v>
      </c>
      <c r="B159" s="43" t="n">
        <f aca="false">IFERROR(SUMPRODUCT(Normalizacao!$AL$5:$AL$17,Pesos_Indicadores!$I$5:$I$17,((Pesos_Indicadores!$B$5:$B$17=$A$10)*A159+(Pesos_Indicadores!$B$5:$B$17&lt;&gt;$A$10)*Pesos_Indicadores!$G$5:$G$17*(1-A159)/(1-$B$10))),0)</f>
        <v>0.993307692307692</v>
      </c>
      <c r="C159" s="60" t="n">
        <f aca="false">IF(B159=0,"",IFERROR(SUMPRODUCT(Normalizacao!$AL$5:$AL$17,Pesos_Indicadores!$I$5:$I$17,((Pesos_Indicadores!$B$5:$B$17=$A$10)*A159+(Pesos_Indicadores!$B$5:$B$17&lt;&gt;$A$10)*Pesos_Indicadores!$G$5:$G$17*(1-A159)/(1-$B$10)),Normalizacao!$AI$5:$AI$17)/B159,""))</f>
        <v>0.667702607008601</v>
      </c>
      <c r="D159" s="60" t="n">
        <f aca="false">IF(B159=0,"",IFERROR(SUMPRODUCT(Normalizacao!$AL$5:$AL$17,Pesos_Indicadores!$I$5:$I$17,((Pesos_Indicadores!$B$5:$B$17=$A$10)*A159+(Pesos_Indicadores!$B$5:$B$17&lt;&gt;$A$10)*Pesos_Indicadores!$G$5:$G$17*(1-A159)/(1-$B$10)),Normalizacao!$AJ$5:$AJ$17)/B159,""))</f>
        <v>0.850955853386712</v>
      </c>
      <c r="E159" s="60" t="n">
        <f aca="false">IF(B159=0,"",IFERROR(SUMPRODUCT(Normalizacao!$AL$5:$AL$17,Pesos_Indicadores!$I$5:$I$17,((Pesos_Indicadores!$B$5:$B$17=$A$10)*A159+(Pesos_Indicadores!$B$5:$B$17&lt;&gt;$A$10)*Pesos_Indicadores!$G$5:$G$17*(1-A159)/(1-$B$10)),Normalizacao!$AK$5:$AK$17)/B159,""))</f>
        <v>0.871181155132473</v>
      </c>
      <c r="F159" s="17" t="str">
        <f aca="false">IF(C159="","",IF(INDEX(C159:E159,$B$5)&gt;=MAX(C159:E159),$B$4,INDEX(Pontuacao!$A$29:$A$31,MATCH(MAX(C159:E159),C159:E159,0))))</f>
        <v>Microsoft Azure</v>
      </c>
      <c r="G159" s="43" t="str">
        <f aca="false">IF(OR(F159="",F159=$B$4,ABS(A159-$B$10)&lt;0.000000001),"",ABS(A159-$B$10))</f>
        <v/>
      </c>
      <c r="I159" s="60" t="n">
        <f aca="false">(ROW()-17)*$B$6</f>
        <v>0.71</v>
      </c>
      <c r="J159" s="43" t="n">
        <f aca="false">IFERROR(SUMPRODUCT(Normalizacao!$AL$5:$AL$17,Pesos_Indicadores!$I$5:$I$17,((Pesos_Indicadores!$B$5:$B$17=$A$11)*I159+(Pesos_Indicadores!$B$5:$B$17&lt;&gt;$A$11)*Pesos_Indicadores!$G$5:$G$17*(1-I159)/(1-$B$11))),0)</f>
        <v>0.836153846153846</v>
      </c>
      <c r="K159" s="60" t="n">
        <f aca="false">IF(J159=0,"",IFERROR(SUMPRODUCT(Normalizacao!$AL$5:$AL$17,Pesos_Indicadores!$I$5:$I$17,((Pesos_Indicadores!$B$5:$B$17=$A$11)*I159+(Pesos_Indicadores!$B$5:$B$17&lt;&gt;$A$11)*Pesos_Indicadores!$G$5:$G$17*(1-I159)/(1-$B$11)),Normalizacao!$AI$5:$AI$17)/J159,""))</f>
        <v>0.811215196128997</v>
      </c>
      <c r="L159" s="60" t="n">
        <f aca="false">IF(J159=0,"",IFERROR(SUMPRODUCT(Normalizacao!$AL$5:$AL$17,Pesos_Indicadores!$I$5:$I$17,((Pesos_Indicadores!$B$5:$B$17=$A$11)*I159+(Pesos_Indicadores!$B$5:$B$17&lt;&gt;$A$11)*Pesos_Indicadores!$G$5:$G$17*(1-I159)/(1-$B$11)),Normalizacao!$AJ$5:$AJ$17)/J159,""))</f>
        <v>0.820106980720771</v>
      </c>
      <c r="M159" s="60" t="n">
        <f aca="false">IF(J159=0,"",IFERROR(SUMPRODUCT(Normalizacao!$AL$5:$AL$17,Pesos_Indicadores!$I$5:$I$17,((Pesos_Indicadores!$B$5:$B$17=$A$11)*I159+(Pesos_Indicadores!$B$5:$B$17&lt;&gt;$A$11)*Pesos_Indicadores!$G$5:$G$17*(1-I159)/(1-$B$11)),Normalizacao!$AK$5:$AK$17)/J159,""))</f>
        <v>0.839565700187774</v>
      </c>
      <c r="N159" s="17" t="str">
        <f aca="false">IF(K159="","",IF(INDEX(K159:M159,$B$5)&gt;=MAX(K159:M159),$B$4,INDEX(Pontuacao!$A$29:$A$31,MATCH(MAX(K159:M159),K159:M159,0))))</f>
        <v>Microsoft Azure</v>
      </c>
      <c r="O159" s="43" t="str">
        <f aca="false">IF(OR(N159="",N159=$B$4,ABS(I159-$B$11)&lt;0.000000001),"",ABS(I159-$B$11))</f>
        <v/>
      </c>
      <c r="Q159" s="60" t="n">
        <f aca="false">(ROW()-17)*$B$6</f>
        <v>0.71</v>
      </c>
      <c r="R159" s="43" t="n">
        <f aca="false">IFERROR(SUMPRODUCT(Normalizacao!$AL$5:$AL$17,Pesos_Indicadores!$I$5:$I$17,((Pesos_Indicadores!$B$5:$B$17=$A$12)*Q159+(Pesos_Indicadores!$B$5:$B$17&lt;&gt;$A$12)*Pesos_Indicadores!$G$5:$G$17*(1-Q159)/(1-$B$12))),0)</f>
        <v>0.966538461538462</v>
      </c>
      <c r="S159" s="60" t="n">
        <f aca="false">IF(R159=0,"",IFERROR(SUMPRODUCT(Normalizacao!$AL$5:$AL$17,Pesos_Indicadores!$I$5:$I$17,((Pesos_Indicadores!$B$5:$B$17=$A$12)*Q159+(Pesos_Indicadores!$B$5:$B$17&lt;&gt;$A$12)*Pesos_Indicadores!$G$5:$G$17*(1-Q159)/(1-$B$12)),Normalizacao!$AI$5:$AI$17)/R159,""))</f>
        <v>0.743795933912534</v>
      </c>
      <c r="T159" s="60" t="n">
        <f aca="false">IF(R159=0,"",IFERROR(SUMPRODUCT(Normalizacao!$AL$5:$AL$17,Pesos_Indicadores!$I$5:$I$17,((Pesos_Indicadores!$B$5:$B$17=$A$12)*Q159+(Pesos_Indicadores!$B$5:$B$17&lt;&gt;$A$12)*Pesos_Indicadores!$G$5:$G$17*(1-Q159)/(1-$B$12)),Normalizacao!$AJ$5:$AJ$17)/R159,""))</f>
        <v>0.782257413623073</v>
      </c>
      <c r="U159" s="60" t="n">
        <f aca="false">IF(R159=0,"",IFERROR(SUMPRODUCT(Normalizacao!$AL$5:$AL$17,Pesos_Indicadores!$I$5:$I$17,((Pesos_Indicadores!$B$5:$B$17=$A$12)*Q159+(Pesos_Indicadores!$B$5:$B$17&lt;&gt;$A$12)*Pesos_Indicadores!$G$5:$G$17*(1-Q159)/(1-$B$12)),Normalizacao!$AK$5:$AK$17)/R159,""))</f>
        <v>0.828926982182898</v>
      </c>
      <c r="V159" s="17" t="str">
        <f aca="false">IF(S159="","",IF(INDEX(S159:U159,$B$5)&gt;=MAX(S159:U159),$B$4,INDEX(Pontuacao!$A$29:$A$31,MATCH(MAX(S159:U159),S159:U159,0))))</f>
        <v>Microsoft Azure</v>
      </c>
      <c r="W159" s="43" t="str">
        <f aca="false">IF(OR(V159="",V159=$B$4,ABS(Q159-$B$12)&lt;0.000000001),"",ABS(Q159-$B$12))</f>
        <v/>
      </c>
    </row>
    <row r="160" customFormat="false" ht="15" hidden="false" customHeight="true" outlineLevel="0" collapsed="false">
      <c r="A160" s="60" t="n">
        <f aca="false">(ROW()-17)*$B$6</f>
        <v>0.715</v>
      </c>
      <c r="B160" s="43" t="n">
        <f aca="false">IFERROR(SUMPRODUCT(Normalizacao!$AL$5:$AL$17,Pesos_Indicadores!$I$5:$I$17,((Pesos_Indicadores!$B$5:$B$17=$A$10)*A160+(Pesos_Indicadores!$B$5:$B$17&lt;&gt;$A$10)*Pesos_Indicadores!$G$5:$G$17*(1-A160)/(1-$B$10))),0)</f>
        <v>0.993423076923077</v>
      </c>
      <c r="C160" s="60" t="n">
        <f aca="false">IF(B160=0,"",IFERROR(SUMPRODUCT(Normalizacao!$AL$5:$AL$17,Pesos_Indicadores!$I$5:$I$17,((Pesos_Indicadores!$B$5:$B$17=$A$10)*A160+(Pesos_Indicadores!$B$5:$B$17&lt;&gt;$A$10)*Pesos_Indicadores!$G$5:$G$17*(1-A160)/(1-$B$10)),Normalizacao!$AI$5:$AI$17)/B160,""))</f>
        <v>0.667078144118602</v>
      </c>
      <c r="D160" s="60" t="n">
        <f aca="false">IF(B160=0,"",IFERROR(SUMPRODUCT(Normalizacao!$AL$5:$AL$17,Pesos_Indicadores!$I$5:$I$17,((Pesos_Indicadores!$B$5:$B$17=$A$10)*A160+(Pesos_Indicadores!$B$5:$B$17&lt;&gt;$A$10)*Pesos_Indicadores!$G$5:$G$17*(1-A160)/(1-$B$10)),Normalizacao!$AJ$5:$AJ$17)/B160,""))</f>
        <v>0.851600471832302</v>
      </c>
      <c r="E160" s="60" t="n">
        <f aca="false">IF(B160=0,"",IFERROR(SUMPRODUCT(Normalizacao!$AL$5:$AL$17,Pesos_Indicadores!$I$5:$I$17,((Pesos_Indicadores!$B$5:$B$17=$A$10)*A160+(Pesos_Indicadores!$B$5:$B$17&lt;&gt;$A$10)*Pesos_Indicadores!$G$5:$G$17*(1-A160)/(1-$B$10)),Normalizacao!$AK$5:$AK$17)/B160,""))</f>
        <v>0.871567286621418</v>
      </c>
      <c r="F160" s="17" t="str">
        <f aca="false">IF(C160="","",IF(INDEX(C160:E160,$B$5)&gt;=MAX(C160:E160),$B$4,INDEX(Pontuacao!$A$29:$A$31,MATCH(MAX(C160:E160),C160:E160,0))))</f>
        <v>Microsoft Azure</v>
      </c>
      <c r="G160" s="43" t="str">
        <f aca="false">IF(OR(F160="",F160=$B$4,ABS(A160-$B$10)&lt;0.000000001),"",ABS(A160-$B$10))</f>
        <v/>
      </c>
      <c r="I160" s="60" t="n">
        <f aca="false">(ROW()-17)*$B$6</f>
        <v>0.715</v>
      </c>
      <c r="J160" s="43" t="n">
        <f aca="false">IFERROR(SUMPRODUCT(Normalizacao!$AL$5:$AL$17,Pesos_Indicadores!$I$5:$I$17,((Pesos_Indicadores!$B$5:$B$17=$A$11)*I160+(Pesos_Indicadores!$B$5:$B$17&lt;&gt;$A$11)*Pesos_Indicadores!$G$5:$G$17*(1-I160)/(1-$B$11))),0)</f>
        <v>0.835</v>
      </c>
      <c r="K160" s="60" t="n">
        <f aca="false">IF(J160=0,"",IFERROR(SUMPRODUCT(Normalizacao!$AL$5:$AL$17,Pesos_Indicadores!$I$5:$I$17,((Pesos_Indicadores!$B$5:$B$17=$A$11)*I160+(Pesos_Indicadores!$B$5:$B$17&lt;&gt;$A$11)*Pesos_Indicadores!$G$5:$G$17*(1-I160)/(1-$B$11)),Normalizacao!$AI$5:$AI$17)/J160,""))</f>
        <v>0.811831228846655</v>
      </c>
      <c r="L160" s="60" t="n">
        <f aca="false">IF(J160=0,"",IFERROR(SUMPRODUCT(Normalizacao!$AL$5:$AL$17,Pesos_Indicadores!$I$5:$I$17,((Pesos_Indicadores!$B$5:$B$17=$A$11)*I160+(Pesos_Indicadores!$B$5:$B$17&lt;&gt;$A$11)*Pesos_Indicadores!$G$5:$G$17*(1-I160)/(1-$B$11)),Normalizacao!$AJ$5:$AJ$17)/J160,""))</f>
        <v>0.820581782087998</v>
      </c>
      <c r="M160" s="60" t="n">
        <f aca="false">IF(J160=0,"",IFERROR(SUMPRODUCT(Normalizacao!$AL$5:$AL$17,Pesos_Indicadores!$I$5:$I$17,((Pesos_Indicadores!$B$5:$B$17=$A$11)*I160+(Pesos_Indicadores!$B$5:$B$17&lt;&gt;$A$11)*Pesos_Indicadores!$G$5:$G$17*(1-I160)/(1-$B$11)),Normalizacao!$AK$5:$AK$17)/J160,""))</f>
        <v>0.839725713272617</v>
      </c>
      <c r="N160" s="17" t="str">
        <f aca="false">IF(K160="","",IF(INDEX(K160:M160,$B$5)&gt;=MAX(K160:M160),$B$4,INDEX(Pontuacao!$A$29:$A$31,MATCH(MAX(K160:M160),K160:M160,0))))</f>
        <v>Microsoft Azure</v>
      </c>
      <c r="O160" s="43" t="str">
        <f aca="false">IF(OR(N160="",N160=$B$4,ABS(I160-$B$11)&lt;0.000000001),"",ABS(I160-$B$11))</f>
        <v/>
      </c>
      <c r="Q160" s="60" t="n">
        <f aca="false">(ROW()-17)*$B$6</f>
        <v>0.715</v>
      </c>
      <c r="R160" s="43" t="n">
        <f aca="false">IFERROR(SUMPRODUCT(Normalizacao!$AL$5:$AL$17,Pesos_Indicadores!$I$5:$I$17,((Pesos_Indicadores!$B$5:$B$17=$A$12)*Q160+(Pesos_Indicadores!$B$5:$B$17&lt;&gt;$A$12)*Pesos_Indicadores!$G$5:$G$17*(1-Q160)/(1-$B$12))),0)</f>
        <v>0.967115384615385</v>
      </c>
      <c r="S160" s="60" t="n">
        <f aca="false">IF(R160=0,"",IFERROR(SUMPRODUCT(Normalizacao!$AL$5:$AL$17,Pesos_Indicadores!$I$5:$I$17,((Pesos_Indicadores!$B$5:$B$17=$A$12)*Q160+(Pesos_Indicadores!$B$5:$B$17&lt;&gt;$A$12)*Pesos_Indicadores!$G$5:$G$17*(1-Q160)/(1-$B$12)),Normalizacao!$AI$5:$AI$17)/R160,""))</f>
        <v>0.743906537733321</v>
      </c>
      <c r="T160" s="60" t="n">
        <f aca="false">IF(R160=0,"",IFERROR(SUMPRODUCT(Normalizacao!$AL$5:$AL$17,Pesos_Indicadores!$I$5:$I$17,((Pesos_Indicadores!$B$5:$B$17=$A$12)*Q160+(Pesos_Indicadores!$B$5:$B$17&lt;&gt;$A$12)*Pesos_Indicadores!$G$5:$G$17*(1-Q160)/(1-$B$12)),Normalizacao!$AJ$5:$AJ$17)/R160,""))</f>
        <v>0.781682340252622</v>
      </c>
      <c r="U160" s="60" t="n">
        <f aca="false">IF(R160=0,"",IFERROR(SUMPRODUCT(Normalizacao!$AL$5:$AL$17,Pesos_Indicadores!$I$5:$I$17,((Pesos_Indicadores!$B$5:$B$17=$A$12)*Q160+(Pesos_Indicadores!$B$5:$B$17&lt;&gt;$A$12)*Pesos_Indicadores!$G$5:$G$17*(1-Q160)/(1-$B$12)),Normalizacao!$AK$5:$AK$17)/R160,""))</f>
        <v>0.82863412795346</v>
      </c>
      <c r="V160" s="17" t="str">
        <f aca="false">IF(S160="","",IF(INDEX(S160:U160,$B$5)&gt;=MAX(S160:U160),$B$4,INDEX(Pontuacao!$A$29:$A$31,MATCH(MAX(S160:U160),S160:U160,0))))</f>
        <v>Microsoft Azure</v>
      </c>
      <c r="W160" s="43" t="str">
        <f aca="false">IF(OR(V160="",V160=$B$4,ABS(Q160-$B$12)&lt;0.000000001),"",ABS(Q160-$B$12))</f>
        <v/>
      </c>
    </row>
    <row r="161" customFormat="false" ht="15" hidden="false" customHeight="true" outlineLevel="0" collapsed="false">
      <c r="A161" s="60" t="n">
        <f aca="false">(ROW()-17)*$B$6</f>
        <v>0.72</v>
      </c>
      <c r="B161" s="43" t="n">
        <f aca="false">IFERROR(SUMPRODUCT(Normalizacao!$AL$5:$AL$17,Pesos_Indicadores!$I$5:$I$17,((Pesos_Indicadores!$B$5:$B$17=$A$10)*A161+(Pesos_Indicadores!$B$5:$B$17&lt;&gt;$A$10)*Pesos_Indicadores!$G$5:$G$17*(1-A161)/(1-$B$10))),0)</f>
        <v>0.993538461538462</v>
      </c>
      <c r="C161" s="60" t="n">
        <f aca="false">IF(B161=0,"",IFERROR(SUMPRODUCT(Normalizacao!$AL$5:$AL$17,Pesos_Indicadores!$I$5:$I$17,((Pesos_Indicadores!$B$5:$B$17=$A$10)*A161+(Pesos_Indicadores!$B$5:$B$17&lt;&gt;$A$10)*Pesos_Indicadores!$G$5:$G$17*(1-A161)/(1-$B$10)),Normalizacao!$AI$5:$AI$17)/B161,""))</f>
        <v>0.666453826272631</v>
      </c>
      <c r="D161" s="60" t="n">
        <f aca="false">IF(B161=0,"",IFERROR(SUMPRODUCT(Normalizacao!$AL$5:$AL$17,Pesos_Indicadores!$I$5:$I$17,((Pesos_Indicadores!$B$5:$B$17=$A$10)*A161+(Pesos_Indicadores!$B$5:$B$17&lt;&gt;$A$10)*Pesos_Indicadores!$G$5:$G$17*(1-A161)/(1-$B$10)),Normalizacao!$AJ$5:$AJ$17)/B161,""))</f>
        <v>0.852244940552332</v>
      </c>
      <c r="E161" s="60" t="n">
        <f aca="false">IF(B161=0,"",IFERROR(SUMPRODUCT(Normalizacao!$AL$5:$AL$17,Pesos_Indicadores!$I$5:$I$17,((Pesos_Indicadores!$B$5:$B$17=$A$10)*A161+(Pesos_Indicadores!$B$5:$B$17&lt;&gt;$A$10)*Pesos_Indicadores!$G$5:$G$17*(1-A161)/(1-$B$10)),Normalizacao!$AK$5:$AK$17)/B161,""))</f>
        <v>0.871953328423583</v>
      </c>
      <c r="F161" s="17" t="str">
        <f aca="false">IF(C161="","",IF(INDEX(C161:E161,$B$5)&gt;=MAX(C161:E161),$B$4,INDEX(Pontuacao!$A$29:$A$31,MATCH(MAX(C161:E161),C161:E161,0))))</f>
        <v>Microsoft Azure</v>
      </c>
      <c r="G161" s="43" t="str">
        <f aca="false">IF(OR(F161="",F161=$B$4,ABS(A161-$B$10)&lt;0.000000001),"",ABS(A161-$B$10))</f>
        <v/>
      </c>
      <c r="I161" s="60" t="n">
        <f aca="false">(ROW()-17)*$B$6</f>
        <v>0.72</v>
      </c>
      <c r="J161" s="43" t="n">
        <f aca="false">IFERROR(SUMPRODUCT(Normalizacao!$AL$5:$AL$17,Pesos_Indicadores!$I$5:$I$17,((Pesos_Indicadores!$B$5:$B$17=$A$11)*I161+(Pesos_Indicadores!$B$5:$B$17&lt;&gt;$A$11)*Pesos_Indicadores!$G$5:$G$17*(1-I161)/(1-$B$11))),0)</f>
        <v>0.833846153846154</v>
      </c>
      <c r="K161" s="60" t="n">
        <f aca="false">IF(J161=0,"",IFERROR(SUMPRODUCT(Normalizacao!$AL$5:$AL$17,Pesos_Indicadores!$I$5:$I$17,((Pesos_Indicadores!$B$5:$B$17=$A$11)*I161+(Pesos_Indicadores!$B$5:$B$17&lt;&gt;$A$11)*Pesos_Indicadores!$G$5:$G$17*(1-I161)/(1-$B$11)),Normalizacao!$AI$5:$AI$17)/J161,""))</f>
        <v>0.812448966451907</v>
      </c>
      <c r="L161" s="60" t="n">
        <f aca="false">IF(J161=0,"",IFERROR(SUMPRODUCT(Normalizacao!$AL$5:$AL$17,Pesos_Indicadores!$I$5:$I$17,((Pesos_Indicadores!$B$5:$B$17=$A$11)*I161+(Pesos_Indicadores!$B$5:$B$17&lt;&gt;$A$11)*Pesos_Indicadores!$G$5:$G$17*(1-I161)/(1-$B$11)),Normalizacao!$AJ$5:$AJ$17)/J161,""))</f>
        <v>0.821057897481149</v>
      </c>
      <c r="M161" s="60" t="n">
        <f aca="false">IF(J161=0,"",IFERROR(SUMPRODUCT(Normalizacao!$AL$5:$AL$17,Pesos_Indicadores!$I$5:$I$17,((Pesos_Indicadores!$B$5:$B$17=$A$11)*I161+(Pesos_Indicadores!$B$5:$B$17&lt;&gt;$A$11)*Pesos_Indicadores!$G$5:$G$17*(1-I161)/(1-$B$11)),Normalizacao!$AK$5:$AK$17)/J161,""))</f>
        <v>0.839886169198101</v>
      </c>
      <c r="N161" s="17" t="str">
        <f aca="false">IF(K161="","",IF(INDEX(K161:M161,$B$5)&gt;=MAX(K161:M161),$B$4,INDEX(Pontuacao!$A$29:$A$31,MATCH(MAX(K161:M161),K161:M161,0))))</f>
        <v>Microsoft Azure</v>
      </c>
      <c r="O161" s="43" t="str">
        <f aca="false">IF(OR(N161="",N161=$B$4,ABS(I161-$B$11)&lt;0.000000001),"",ABS(I161-$B$11))</f>
        <v/>
      </c>
      <c r="Q161" s="60" t="n">
        <f aca="false">(ROW()-17)*$B$6</f>
        <v>0.72</v>
      </c>
      <c r="R161" s="43" t="n">
        <f aca="false">IFERROR(SUMPRODUCT(Normalizacao!$AL$5:$AL$17,Pesos_Indicadores!$I$5:$I$17,((Pesos_Indicadores!$B$5:$B$17=$A$12)*Q161+(Pesos_Indicadores!$B$5:$B$17&lt;&gt;$A$12)*Pesos_Indicadores!$G$5:$G$17*(1-Q161)/(1-$B$12))),0)</f>
        <v>0.967692307692308</v>
      </c>
      <c r="S161" s="60" t="n">
        <f aca="false">IF(R161=0,"",IFERROR(SUMPRODUCT(Normalizacao!$AL$5:$AL$17,Pesos_Indicadores!$I$5:$I$17,((Pesos_Indicadores!$B$5:$B$17=$A$12)*Q161+(Pesos_Indicadores!$B$5:$B$17&lt;&gt;$A$12)*Pesos_Indicadores!$G$5:$G$17*(1-Q161)/(1-$B$12)),Normalizacao!$AI$5:$AI$17)/R161,""))</f>
        <v>0.744017009673558</v>
      </c>
      <c r="T161" s="60" t="n">
        <f aca="false">IF(R161=0,"",IFERROR(SUMPRODUCT(Normalizacao!$AL$5:$AL$17,Pesos_Indicadores!$I$5:$I$17,((Pesos_Indicadores!$B$5:$B$17=$A$12)*Q161+(Pesos_Indicadores!$B$5:$B$17&lt;&gt;$A$12)*Pesos_Indicadores!$G$5:$G$17*(1-Q161)/(1-$B$12)),Normalizacao!$AJ$5:$AJ$17)/R161,""))</f>
        <v>0.781107952581738</v>
      </c>
      <c r="U161" s="60" t="n">
        <f aca="false">IF(R161=0,"",IFERROR(SUMPRODUCT(Normalizacao!$AL$5:$AL$17,Pesos_Indicadores!$I$5:$I$17,((Pesos_Indicadores!$B$5:$B$17=$A$12)*Q161+(Pesos_Indicadores!$B$5:$B$17&lt;&gt;$A$12)*Pesos_Indicadores!$G$5:$G$17*(1-Q161)/(1-$B$12)),Normalizacao!$AK$5:$AK$17)/R161,""))</f>
        <v>0.828341622914279</v>
      </c>
      <c r="V161" s="17" t="str">
        <f aca="false">IF(S161="","",IF(INDEX(S161:U161,$B$5)&gt;=MAX(S161:U161),$B$4,INDEX(Pontuacao!$A$29:$A$31,MATCH(MAX(S161:U161),S161:U161,0))))</f>
        <v>Microsoft Azure</v>
      </c>
      <c r="W161" s="43" t="str">
        <f aca="false">IF(OR(V161="",V161=$B$4,ABS(Q161-$B$12)&lt;0.000000001),"",ABS(Q161-$B$12))</f>
        <v/>
      </c>
    </row>
    <row r="162" customFormat="false" ht="15" hidden="false" customHeight="true" outlineLevel="0" collapsed="false">
      <c r="A162" s="60" t="n">
        <f aca="false">(ROW()-17)*$B$6</f>
        <v>0.725</v>
      </c>
      <c r="B162" s="43" t="n">
        <f aca="false">IFERROR(SUMPRODUCT(Normalizacao!$AL$5:$AL$17,Pesos_Indicadores!$I$5:$I$17,((Pesos_Indicadores!$B$5:$B$17=$A$10)*A162+(Pesos_Indicadores!$B$5:$B$17&lt;&gt;$A$10)*Pesos_Indicadores!$G$5:$G$17*(1-A162)/(1-$B$10))),0)</f>
        <v>0.993653846153846</v>
      </c>
      <c r="C162" s="60" t="n">
        <f aca="false">IF(B162=0,"",IFERROR(SUMPRODUCT(Normalizacao!$AL$5:$AL$17,Pesos_Indicadores!$I$5:$I$17,((Pesos_Indicadores!$B$5:$B$17=$A$10)*A162+(Pesos_Indicadores!$B$5:$B$17&lt;&gt;$A$10)*Pesos_Indicadores!$G$5:$G$17*(1-A162)/(1-$B$10)),Normalizacao!$AI$5:$AI$17)/B162,""))</f>
        <v>0.66582965342016</v>
      </c>
      <c r="D162" s="60" t="n">
        <f aca="false">IF(B162=0,"",IFERROR(SUMPRODUCT(Normalizacao!$AL$5:$AL$17,Pesos_Indicadores!$I$5:$I$17,((Pesos_Indicadores!$B$5:$B$17=$A$10)*A162+(Pesos_Indicadores!$B$5:$B$17&lt;&gt;$A$10)*Pesos_Indicadores!$G$5:$G$17*(1-A162)/(1-$B$10)),Normalizacao!$AJ$5:$AJ$17)/B162,""))</f>
        <v>0.85288925959896</v>
      </c>
      <c r="E162" s="60" t="n">
        <f aca="false">IF(B162=0,"",IFERROR(SUMPRODUCT(Normalizacao!$AL$5:$AL$17,Pesos_Indicadores!$I$5:$I$17,((Pesos_Indicadores!$B$5:$B$17=$A$10)*A162+(Pesos_Indicadores!$B$5:$B$17&lt;&gt;$A$10)*Pesos_Indicadores!$G$5:$G$17*(1-A162)/(1-$B$10)),Normalizacao!$AK$5:$AK$17)/B162,""))</f>
        <v>0.872339280570209</v>
      </c>
      <c r="F162" s="17" t="str">
        <f aca="false">IF(C162="","",IF(INDEX(C162:E162,$B$5)&gt;=MAX(C162:E162),$B$4,INDEX(Pontuacao!$A$29:$A$31,MATCH(MAX(C162:E162),C162:E162,0))))</f>
        <v>Microsoft Azure</v>
      </c>
      <c r="G162" s="43" t="str">
        <f aca="false">IF(OR(F162="",F162=$B$4,ABS(A162-$B$10)&lt;0.000000001),"",ABS(A162-$B$10))</f>
        <v/>
      </c>
      <c r="I162" s="60" t="n">
        <f aca="false">(ROW()-17)*$B$6</f>
        <v>0.725</v>
      </c>
      <c r="J162" s="43" t="n">
        <f aca="false">IFERROR(SUMPRODUCT(Normalizacao!$AL$5:$AL$17,Pesos_Indicadores!$I$5:$I$17,((Pesos_Indicadores!$B$5:$B$17=$A$11)*I162+(Pesos_Indicadores!$B$5:$B$17&lt;&gt;$A$11)*Pesos_Indicadores!$G$5:$G$17*(1-I162)/(1-$B$11))),0)</f>
        <v>0.832692307692308</v>
      </c>
      <c r="K162" s="60" t="n">
        <f aca="false">IF(J162=0,"",IFERROR(SUMPRODUCT(Normalizacao!$AL$5:$AL$17,Pesos_Indicadores!$I$5:$I$17,((Pesos_Indicadores!$B$5:$B$17=$A$11)*I162+(Pesos_Indicadores!$B$5:$B$17&lt;&gt;$A$11)*Pesos_Indicadores!$G$5:$G$17*(1-I162)/(1-$B$11)),Normalizacao!$AI$5:$AI$17)/J162,""))</f>
        <v>0.813068416032047</v>
      </c>
      <c r="L162" s="60" t="n">
        <f aca="false">IF(J162=0,"",IFERROR(SUMPRODUCT(Normalizacao!$AL$5:$AL$17,Pesos_Indicadores!$I$5:$I$17,((Pesos_Indicadores!$B$5:$B$17=$A$11)*I162+(Pesos_Indicadores!$B$5:$B$17&lt;&gt;$A$11)*Pesos_Indicadores!$G$5:$G$17*(1-I162)/(1-$B$11)),Normalizacao!$AJ$5:$AJ$17)/J162,""))</f>
        <v>0.821535332362687</v>
      </c>
      <c r="M162" s="60" t="n">
        <f aca="false">IF(J162=0,"",IFERROR(SUMPRODUCT(Normalizacao!$AL$5:$AL$17,Pesos_Indicadores!$I$5:$I$17,((Pesos_Indicadores!$B$5:$B$17=$A$11)*I162+(Pesos_Indicadores!$B$5:$B$17&lt;&gt;$A$11)*Pesos_Indicadores!$G$5:$G$17*(1-I162)/(1-$B$11)),Normalizacao!$AK$5:$AK$17)/J162,""))</f>
        <v>0.840047069805133</v>
      </c>
      <c r="N162" s="17" t="str">
        <f aca="false">IF(K162="","",IF(INDEX(K162:M162,$B$5)&gt;=MAX(K162:M162),$B$4,INDEX(Pontuacao!$A$29:$A$31,MATCH(MAX(K162:M162),K162:M162,0))))</f>
        <v>Microsoft Azure</v>
      </c>
      <c r="O162" s="43" t="str">
        <f aca="false">IF(OR(N162="",N162=$B$4,ABS(I162-$B$11)&lt;0.000000001),"",ABS(I162-$B$11))</f>
        <v/>
      </c>
      <c r="Q162" s="60" t="n">
        <f aca="false">(ROW()-17)*$B$6</f>
        <v>0.725</v>
      </c>
      <c r="R162" s="43" t="n">
        <f aca="false">IFERROR(SUMPRODUCT(Normalizacao!$AL$5:$AL$17,Pesos_Indicadores!$I$5:$I$17,((Pesos_Indicadores!$B$5:$B$17=$A$12)*Q162+(Pesos_Indicadores!$B$5:$B$17&lt;&gt;$A$12)*Pesos_Indicadores!$G$5:$G$17*(1-Q162)/(1-$B$12))),0)</f>
        <v>0.968269230769231</v>
      </c>
      <c r="S162" s="60" t="n">
        <f aca="false">IF(R162=0,"",IFERROR(SUMPRODUCT(Normalizacao!$AL$5:$AL$17,Pesos_Indicadores!$I$5:$I$17,((Pesos_Indicadores!$B$5:$B$17=$A$12)*Q162+(Pesos_Indicadores!$B$5:$B$17&lt;&gt;$A$12)*Pesos_Indicadores!$G$5:$G$17*(1-Q162)/(1-$B$12)),Normalizacao!$AI$5:$AI$17)/R162,""))</f>
        <v>0.744127349968981</v>
      </c>
      <c r="T162" s="60" t="n">
        <f aca="false">IF(R162=0,"",IFERROR(SUMPRODUCT(Normalizacao!$AL$5:$AL$17,Pesos_Indicadores!$I$5:$I$17,((Pesos_Indicadores!$B$5:$B$17=$A$12)*Q162+(Pesos_Indicadores!$B$5:$B$17&lt;&gt;$A$12)*Pesos_Indicadores!$G$5:$G$17*(1-Q162)/(1-$B$12)),Normalizacao!$AJ$5:$AJ$17)/R162,""))</f>
        <v>0.780534249384742</v>
      </c>
      <c r="U162" s="60" t="n">
        <f aca="false">IF(R162=0,"",IFERROR(SUMPRODUCT(Normalizacao!$AL$5:$AL$17,Pesos_Indicadores!$I$5:$I$17,((Pesos_Indicadores!$B$5:$B$17=$A$12)*Q162+(Pesos_Indicadores!$B$5:$B$17&lt;&gt;$A$12)*Pesos_Indicadores!$G$5:$G$17*(1-Q162)/(1-$B$12)),Normalizacao!$AK$5:$AK$17)/R162,""))</f>
        <v>0.828049466441182</v>
      </c>
      <c r="V162" s="17" t="str">
        <f aca="false">IF(S162="","",IF(INDEX(S162:U162,$B$5)&gt;=MAX(S162:U162),$B$4,INDEX(Pontuacao!$A$29:$A$31,MATCH(MAX(S162:U162),S162:U162,0))))</f>
        <v>Microsoft Azure</v>
      </c>
      <c r="W162" s="43" t="str">
        <f aca="false">IF(OR(V162="",V162=$B$4,ABS(Q162-$B$12)&lt;0.000000001),"",ABS(Q162-$B$12))</f>
        <v/>
      </c>
    </row>
    <row r="163" customFormat="false" ht="15" hidden="false" customHeight="true" outlineLevel="0" collapsed="false">
      <c r="A163" s="60" t="n">
        <f aca="false">(ROW()-17)*$B$6</f>
        <v>0.73</v>
      </c>
      <c r="B163" s="43" t="n">
        <f aca="false">IFERROR(SUMPRODUCT(Normalizacao!$AL$5:$AL$17,Pesos_Indicadores!$I$5:$I$17,((Pesos_Indicadores!$B$5:$B$17=$A$10)*A163+(Pesos_Indicadores!$B$5:$B$17&lt;&gt;$A$10)*Pesos_Indicadores!$G$5:$G$17*(1-A163)/(1-$B$10))),0)</f>
        <v>0.993769230769231</v>
      </c>
      <c r="C163" s="60" t="n">
        <f aca="false">IF(B163=0,"",IFERROR(SUMPRODUCT(Normalizacao!$AL$5:$AL$17,Pesos_Indicadores!$I$5:$I$17,((Pesos_Indicadores!$B$5:$B$17=$A$10)*A163+(Pesos_Indicadores!$B$5:$B$17&lt;&gt;$A$10)*Pesos_Indicadores!$G$5:$G$17*(1-A163)/(1-$B$10)),Normalizacao!$AI$5:$AI$17)/B163,""))</f>
        <v>0.665205625510685</v>
      </c>
      <c r="D163" s="60" t="n">
        <f aca="false">IF(B163=0,"",IFERROR(SUMPRODUCT(Normalizacao!$AL$5:$AL$17,Pesos_Indicadores!$I$5:$I$17,((Pesos_Indicadores!$B$5:$B$17=$A$10)*A163+(Pesos_Indicadores!$B$5:$B$17&lt;&gt;$A$10)*Pesos_Indicadores!$G$5:$G$17*(1-A163)/(1-$B$10)),Normalizacao!$AJ$5:$AJ$17)/B163,""))</f>
        <v>0.853533429024322</v>
      </c>
      <c r="E163" s="60" t="n">
        <f aca="false">IF(B163=0,"",IFERROR(SUMPRODUCT(Normalizacao!$AL$5:$AL$17,Pesos_Indicadores!$I$5:$I$17,((Pesos_Indicadores!$B$5:$B$17=$A$10)*A163+(Pesos_Indicadores!$B$5:$B$17&lt;&gt;$A$10)*Pesos_Indicadores!$G$5:$G$17*(1-A163)/(1-$B$10)),Normalizacao!$AK$5:$AK$17)/B163,""))</f>
        <v>0.872725143092528</v>
      </c>
      <c r="F163" s="17" t="str">
        <f aca="false">IF(C163="","",IF(INDEX(C163:E163,$B$5)&gt;=MAX(C163:E163),$B$4,INDEX(Pontuacao!$A$29:$A$31,MATCH(MAX(C163:E163),C163:E163,0))))</f>
        <v>Microsoft Azure</v>
      </c>
      <c r="G163" s="43" t="str">
        <f aca="false">IF(OR(F163="",F163=$B$4,ABS(A163-$B$10)&lt;0.000000001),"",ABS(A163-$B$10))</f>
        <v/>
      </c>
      <c r="I163" s="60" t="n">
        <f aca="false">(ROW()-17)*$B$6</f>
        <v>0.73</v>
      </c>
      <c r="J163" s="43" t="n">
        <f aca="false">IFERROR(SUMPRODUCT(Normalizacao!$AL$5:$AL$17,Pesos_Indicadores!$I$5:$I$17,((Pesos_Indicadores!$B$5:$B$17=$A$11)*I163+(Pesos_Indicadores!$B$5:$B$17&lt;&gt;$A$11)*Pesos_Indicadores!$G$5:$G$17*(1-I163)/(1-$B$11))),0)</f>
        <v>0.831538461538462</v>
      </c>
      <c r="K163" s="60" t="n">
        <f aca="false">IF(J163=0,"",IFERROR(SUMPRODUCT(Normalizacao!$AL$5:$AL$17,Pesos_Indicadores!$I$5:$I$17,((Pesos_Indicadores!$B$5:$B$17=$A$11)*I163+(Pesos_Indicadores!$B$5:$B$17&lt;&gt;$A$11)*Pesos_Indicadores!$G$5:$G$17*(1-I163)/(1-$B$11)),Normalizacao!$AI$5:$AI$17)/J163,""))</f>
        <v>0.813689584713705</v>
      </c>
      <c r="L163" s="60" t="n">
        <f aca="false">IF(J163=0,"",IFERROR(SUMPRODUCT(Normalizacao!$AL$5:$AL$17,Pesos_Indicadores!$I$5:$I$17,((Pesos_Indicadores!$B$5:$B$17=$A$11)*I163+(Pesos_Indicadores!$B$5:$B$17&lt;&gt;$A$11)*Pesos_Indicadores!$G$5:$G$17*(1-I163)/(1-$B$11)),Normalizacao!$AJ$5:$AJ$17)/J163,""))</f>
        <v>0.822014092225395</v>
      </c>
      <c r="M163" s="60" t="n">
        <f aca="false">IF(J163=0,"",IFERROR(SUMPRODUCT(Normalizacao!$AL$5:$AL$17,Pesos_Indicadores!$I$5:$I$17,((Pesos_Indicadores!$B$5:$B$17=$A$11)*I163+(Pesos_Indicadores!$B$5:$B$17&lt;&gt;$A$11)*Pesos_Indicadores!$G$5:$G$17*(1-I163)/(1-$B$11)),Normalizacao!$AK$5:$AK$17)/J163,""))</f>
        <v>0.84020841694484</v>
      </c>
      <c r="N163" s="17" t="str">
        <f aca="false">IF(K163="","",IF(INDEX(K163:M163,$B$5)&gt;=MAX(K163:M163),$B$4,INDEX(Pontuacao!$A$29:$A$31,MATCH(MAX(K163:M163),K163:M163,0))))</f>
        <v>Microsoft Azure</v>
      </c>
      <c r="O163" s="43" t="str">
        <f aca="false">IF(OR(N163="",N163=$B$4,ABS(I163-$B$11)&lt;0.000000001),"",ABS(I163-$B$11))</f>
        <v/>
      </c>
      <c r="Q163" s="60" t="n">
        <f aca="false">(ROW()-17)*$B$6</f>
        <v>0.73</v>
      </c>
      <c r="R163" s="43" t="n">
        <f aca="false">IFERROR(SUMPRODUCT(Normalizacao!$AL$5:$AL$17,Pesos_Indicadores!$I$5:$I$17,((Pesos_Indicadores!$B$5:$B$17=$A$12)*Q163+(Pesos_Indicadores!$B$5:$B$17&lt;&gt;$A$12)*Pesos_Indicadores!$G$5:$G$17*(1-Q163)/(1-$B$12))),0)</f>
        <v>0.968846153846154</v>
      </c>
      <c r="S163" s="60" t="n">
        <f aca="false">IF(R163=0,"",IFERROR(SUMPRODUCT(Normalizacao!$AL$5:$AL$17,Pesos_Indicadores!$I$5:$I$17,((Pesos_Indicadores!$B$5:$B$17=$A$12)*Q163+(Pesos_Indicadores!$B$5:$B$17&lt;&gt;$A$12)*Pesos_Indicadores!$G$5:$G$17*(1-Q163)/(1-$B$12)),Normalizacao!$AI$5:$AI$17)/R163,""))</f>
        <v>0.744237558854763</v>
      </c>
      <c r="T163" s="60" t="n">
        <f aca="false">IF(R163=0,"",IFERROR(SUMPRODUCT(Normalizacao!$AL$5:$AL$17,Pesos_Indicadores!$I$5:$I$17,((Pesos_Indicadores!$B$5:$B$17=$A$12)*Q163+(Pesos_Indicadores!$B$5:$B$17&lt;&gt;$A$12)*Pesos_Indicadores!$G$5:$G$17*(1-Q163)/(1-$B$12)),Normalizacao!$AJ$5:$AJ$17)/R163,""))</f>
        <v>0.779961229438873</v>
      </c>
      <c r="U163" s="60" t="n">
        <f aca="false">IF(R163=0,"",IFERROR(SUMPRODUCT(Normalizacao!$AL$5:$AL$17,Pesos_Indicadores!$I$5:$I$17,((Pesos_Indicadores!$B$5:$B$17=$A$12)*Q163+(Pesos_Indicadores!$B$5:$B$17&lt;&gt;$A$12)*Pesos_Indicadores!$G$5:$G$17*(1-Q163)/(1-$B$12)),Normalizacao!$AK$5:$AK$17)/R163,""))</f>
        <v>0.827757657911484</v>
      </c>
      <c r="V163" s="17" t="str">
        <f aca="false">IF(S163="","",IF(INDEX(S163:U163,$B$5)&gt;=MAX(S163:U163),$B$4,INDEX(Pontuacao!$A$29:$A$31,MATCH(MAX(S163:U163),S163:U163,0))))</f>
        <v>Microsoft Azure</v>
      </c>
      <c r="W163" s="43" t="str">
        <f aca="false">IF(OR(V163="",V163=$B$4,ABS(Q163-$B$12)&lt;0.000000001),"",ABS(Q163-$B$12))</f>
        <v/>
      </c>
    </row>
    <row r="164" customFormat="false" ht="15" hidden="false" customHeight="true" outlineLevel="0" collapsed="false">
      <c r="A164" s="60" t="n">
        <f aca="false">(ROW()-17)*$B$6</f>
        <v>0.735</v>
      </c>
      <c r="B164" s="43" t="n">
        <f aca="false">IFERROR(SUMPRODUCT(Normalizacao!$AL$5:$AL$17,Pesos_Indicadores!$I$5:$I$17,((Pesos_Indicadores!$B$5:$B$17=$A$10)*A164+(Pesos_Indicadores!$B$5:$B$17&lt;&gt;$A$10)*Pesos_Indicadores!$G$5:$G$17*(1-A164)/(1-$B$10))),0)</f>
        <v>0.993884615384616</v>
      </c>
      <c r="C164" s="60" t="n">
        <f aca="false">IF(B164=0,"",IFERROR(SUMPRODUCT(Normalizacao!$AL$5:$AL$17,Pesos_Indicadores!$I$5:$I$17,((Pesos_Indicadores!$B$5:$B$17=$A$10)*A164+(Pesos_Indicadores!$B$5:$B$17&lt;&gt;$A$10)*Pesos_Indicadores!$G$5:$G$17*(1-A164)/(1-$B$10)),Normalizacao!$AI$5:$AI$17)/B164,""))</f>
        <v>0.664581742493724</v>
      </c>
      <c r="D164" s="60" t="n">
        <f aca="false">IF(B164=0,"",IFERROR(SUMPRODUCT(Normalizacao!$AL$5:$AL$17,Pesos_Indicadores!$I$5:$I$17,((Pesos_Indicadores!$B$5:$B$17=$A$10)*A164+(Pesos_Indicadores!$B$5:$B$17&lt;&gt;$A$10)*Pesos_Indicadores!$G$5:$G$17*(1-A164)/(1-$B$10)),Normalizacao!$AJ$5:$AJ$17)/B164,""))</f>
        <v>0.854177448880529</v>
      </c>
      <c r="E164" s="60" t="n">
        <f aca="false">IF(B164=0,"",IFERROR(SUMPRODUCT(Normalizacao!$AL$5:$AL$17,Pesos_Indicadores!$I$5:$I$17,((Pesos_Indicadores!$B$5:$B$17=$A$10)*A164+(Pesos_Indicadores!$B$5:$B$17&lt;&gt;$A$10)*Pesos_Indicadores!$G$5:$G$17*(1-A164)/(1-$B$10)),Normalizacao!$AK$5:$AK$17)/B164,""))</f>
        <v>0.873110916021752</v>
      </c>
      <c r="F164" s="17" t="str">
        <f aca="false">IF(C164="","",IF(INDEX(C164:E164,$B$5)&gt;=MAX(C164:E164),$B$4,INDEX(Pontuacao!$A$29:$A$31,MATCH(MAX(C164:E164),C164:E164,0))))</f>
        <v>Microsoft Azure</v>
      </c>
      <c r="G164" s="43" t="str">
        <f aca="false">IF(OR(F164="",F164=$B$4,ABS(A164-$B$10)&lt;0.000000001),"",ABS(A164-$B$10))</f>
        <v/>
      </c>
      <c r="I164" s="60" t="n">
        <f aca="false">(ROW()-17)*$B$6</f>
        <v>0.735</v>
      </c>
      <c r="J164" s="43" t="n">
        <f aca="false">IFERROR(SUMPRODUCT(Normalizacao!$AL$5:$AL$17,Pesos_Indicadores!$I$5:$I$17,((Pesos_Indicadores!$B$5:$B$17=$A$11)*I164+(Pesos_Indicadores!$B$5:$B$17&lt;&gt;$A$11)*Pesos_Indicadores!$G$5:$G$17*(1-I164)/(1-$B$11))),0)</f>
        <v>0.830384615384615</v>
      </c>
      <c r="K164" s="60" t="n">
        <f aca="false">IF(J164=0,"",IFERROR(SUMPRODUCT(Normalizacao!$AL$5:$AL$17,Pesos_Indicadores!$I$5:$I$17,((Pesos_Indicadores!$B$5:$B$17=$A$11)*I164+(Pesos_Indicadores!$B$5:$B$17&lt;&gt;$A$11)*Pesos_Indicadores!$G$5:$G$17*(1-I164)/(1-$B$11)),Normalizacao!$AI$5:$AI$17)/J164,""))</f>
        <v>0.814312479663121</v>
      </c>
      <c r="L164" s="60" t="n">
        <f aca="false">IF(J164=0,"",IFERROR(SUMPRODUCT(Normalizacao!$AL$5:$AL$17,Pesos_Indicadores!$I$5:$I$17,((Pesos_Indicadores!$B$5:$B$17=$A$11)*I164+(Pesos_Indicadores!$B$5:$B$17&lt;&gt;$A$11)*Pesos_Indicadores!$G$5:$G$17*(1-I164)/(1-$B$11)),Normalizacao!$AJ$5:$AJ$17)/J164,""))</f>
        <v>0.822494182592585</v>
      </c>
      <c r="M164" s="60" t="n">
        <f aca="false">IF(J164=0,"",IFERROR(SUMPRODUCT(Normalizacao!$AL$5:$AL$17,Pesos_Indicadores!$I$5:$I$17,((Pesos_Indicadores!$B$5:$B$17=$A$11)*I164+(Pesos_Indicadores!$B$5:$B$17&lt;&gt;$A$11)*Pesos_Indicadores!$G$5:$G$17*(1-I164)/(1-$B$11)),Normalizacao!$AK$5:$AK$17)/J164,""))</f>
        <v>0.840370212478636</v>
      </c>
      <c r="N164" s="17" t="str">
        <f aca="false">IF(K164="","",IF(INDEX(K164:M164,$B$5)&gt;=MAX(K164:M164),$B$4,INDEX(Pontuacao!$A$29:$A$31,MATCH(MAX(K164:M164),K164:M164,0))))</f>
        <v>Microsoft Azure</v>
      </c>
      <c r="O164" s="43" t="str">
        <f aca="false">IF(OR(N164="",N164=$B$4,ABS(I164-$B$11)&lt;0.000000001),"",ABS(I164-$B$11))</f>
        <v/>
      </c>
      <c r="Q164" s="60" t="n">
        <f aca="false">(ROW()-17)*$B$6</f>
        <v>0.735</v>
      </c>
      <c r="R164" s="43" t="n">
        <f aca="false">IFERROR(SUMPRODUCT(Normalizacao!$AL$5:$AL$17,Pesos_Indicadores!$I$5:$I$17,((Pesos_Indicadores!$B$5:$B$17=$A$12)*Q164+(Pesos_Indicadores!$B$5:$B$17&lt;&gt;$A$12)*Pesos_Indicadores!$G$5:$G$17*(1-Q164)/(1-$B$12))),0)</f>
        <v>0.969423076923077</v>
      </c>
      <c r="S164" s="60" t="n">
        <f aca="false">IF(R164=0,"",IFERROR(SUMPRODUCT(Normalizacao!$AL$5:$AL$17,Pesos_Indicadores!$I$5:$I$17,((Pesos_Indicadores!$B$5:$B$17=$A$12)*Q164+(Pesos_Indicadores!$B$5:$B$17&lt;&gt;$A$12)*Pesos_Indicadores!$G$5:$G$17*(1-Q164)/(1-$B$12)),Normalizacao!$AI$5:$AI$17)/R164,""))</f>
        <v>0.744347636565518</v>
      </c>
      <c r="T164" s="60" t="n">
        <f aca="false">IF(R164=0,"",IFERROR(SUMPRODUCT(Normalizacao!$AL$5:$AL$17,Pesos_Indicadores!$I$5:$I$17,((Pesos_Indicadores!$B$5:$B$17=$A$12)*Q164+(Pesos_Indicadores!$B$5:$B$17&lt;&gt;$A$12)*Pesos_Indicadores!$G$5:$G$17*(1-Q164)/(1-$B$12)),Normalizacao!$AJ$5:$AJ$17)/R164,""))</f>
        <v>0.779388891524284</v>
      </c>
      <c r="U164" s="60" t="n">
        <f aca="false">IF(R164=0,"",IFERROR(SUMPRODUCT(Normalizacao!$AL$5:$AL$17,Pesos_Indicadores!$I$5:$I$17,((Pesos_Indicadores!$B$5:$B$17=$A$12)*Q164+(Pesos_Indicadores!$B$5:$B$17&lt;&gt;$A$12)*Pesos_Indicadores!$G$5:$G$17*(1-Q164)/(1-$B$12)),Normalizacao!$AK$5:$AK$17)/R164,""))</f>
        <v>0.827466196703979</v>
      </c>
      <c r="V164" s="17" t="str">
        <f aca="false">IF(S164="","",IF(INDEX(S164:U164,$B$5)&gt;=MAX(S164:U164),$B$4,INDEX(Pontuacao!$A$29:$A$31,MATCH(MAX(S164:U164),S164:U164,0))))</f>
        <v>Microsoft Azure</v>
      </c>
      <c r="W164" s="43" t="str">
        <f aca="false">IF(OR(V164="",V164=$B$4,ABS(Q164-$B$12)&lt;0.000000001),"",ABS(Q164-$B$12))</f>
        <v/>
      </c>
    </row>
    <row r="165" customFormat="false" ht="15" hidden="false" customHeight="true" outlineLevel="0" collapsed="false">
      <c r="A165" s="60" t="n">
        <f aca="false">(ROW()-17)*$B$6</f>
        <v>0.74</v>
      </c>
      <c r="B165" s="43" t="n">
        <f aca="false">IFERROR(SUMPRODUCT(Normalizacao!$AL$5:$AL$17,Pesos_Indicadores!$I$5:$I$17,((Pesos_Indicadores!$B$5:$B$17=$A$10)*A165+(Pesos_Indicadores!$B$5:$B$17&lt;&gt;$A$10)*Pesos_Indicadores!$G$5:$G$17*(1-A165)/(1-$B$10))),0)</f>
        <v>0.994</v>
      </c>
      <c r="C165" s="60" t="n">
        <f aca="false">IF(B165=0,"",IFERROR(SUMPRODUCT(Normalizacao!$AL$5:$AL$17,Pesos_Indicadores!$I$5:$I$17,((Pesos_Indicadores!$B$5:$B$17=$A$10)*A165+(Pesos_Indicadores!$B$5:$B$17&lt;&gt;$A$10)*Pesos_Indicadores!$G$5:$G$17*(1-A165)/(1-$B$10)),Normalizacao!$AI$5:$AI$17)/B165,""))</f>
        <v>0.663958004318819</v>
      </c>
      <c r="D165" s="60" t="n">
        <f aca="false">IF(B165=0,"",IFERROR(SUMPRODUCT(Normalizacao!$AL$5:$AL$17,Pesos_Indicadores!$I$5:$I$17,((Pesos_Indicadores!$B$5:$B$17=$A$10)*A165+(Pesos_Indicadores!$B$5:$B$17&lt;&gt;$A$10)*Pesos_Indicadores!$G$5:$G$17*(1-A165)/(1-$B$10)),Normalizacao!$AJ$5:$AJ$17)/B165,""))</f>
        <v>0.854821319219666</v>
      </c>
      <c r="E165" s="60" t="n">
        <f aca="false">IF(B165=0,"",IFERROR(SUMPRODUCT(Normalizacao!$AL$5:$AL$17,Pesos_Indicadores!$I$5:$I$17,((Pesos_Indicadores!$B$5:$B$17=$A$10)*A165+(Pesos_Indicadores!$B$5:$B$17&lt;&gt;$A$10)*Pesos_Indicadores!$G$5:$G$17*(1-A165)/(1-$B$10)),Normalizacao!$AK$5:$AK$17)/B165,""))</f>
        <v>0.873496599389083</v>
      </c>
      <c r="F165" s="17" t="str">
        <f aca="false">IF(C165="","",IF(INDEX(C165:E165,$B$5)&gt;=MAX(C165:E165),$B$4,INDEX(Pontuacao!$A$29:$A$31,MATCH(MAX(C165:E165),C165:E165,0))))</f>
        <v>Microsoft Azure</v>
      </c>
      <c r="G165" s="43" t="str">
        <f aca="false">IF(OR(F165="",F165=$B$4,ABS(A165-$B$10)&lt;0.000000001),"",ABS(A165-$B$10))</f>
        <v/>
      </c>
      <c r="I165" s="60" t="n">
        <f aca="false">(ROW()-17)*$B$6</f>
        <v>0.74</v>
      </c>
      <c r="J165" s="43" t="n">
        <f aca="false">IFERROR(SUMPRODUCT(Normalizacao!$AL$5:$AL$17,Pesos_Indicadores!$I$5:$I$17,((Pesos_Indicadores!$B$5:$B$17=$A$11)*I165+(Pesos_Indicadores!$B$5:$B$17&lt;&gt;$A$11)*Pesos_Indicadores!$G$5:$G$17*(1-I165)/(1-$B$11))),0)</f>
        <v>0.829230769230769</v>
      </c>
      <c r="K165" s="60" t="n">
        <f aca="false">IF(J165=0,"",IFERROR(SUMPRODUCT(Normalizacao!$AL$5:$AL$17,Pesos_Indicadores!$I$5:$I$17,((Pesos_Indicadores!$B$5:$B$17=$A$11)*I165+(Pesos_Indicadores!$B$5:$B$17&lt;&gt;$A$11)*Pesos_Indicadores!$G$5:$G$17*(1-I165)/(1-$B$11)),Normalizacao!$AI$5:$AI$17)/J165,""))</f>
        <v>0.814937108086422</v>
      </c>
      <c r="L165" s="60" t="n">
        <f aca="false">IF(J165=0,"",IFERROR(SUMPRODUCT(Normalizacao!$AL$5:$AL$17,Pesos_Indicadores!$I$5:$I$17,((Pesos_Indicadores!$B$5:$B$17=$A$11)*I165+(Pesos_Indicadores!$B$5:$B$17&lt;&gt;$A$11)*Pesos_Indicadores!$G$5:$G$17*(1-I165)/(1-$B$11)),Normalizacao!$AJ$5:$AJ$17)/J165,""))</f>
        <v>0.822975609018311</v>
      </c>
      <c r="M165" s="60" t="n">
        <f aca="false">IF(J165=0,"",IFERROR(SUMPRODUCT(Normalizacao!$AL$5:$AL$17,Pesos_Indicadores!$I$5:$I$17,((Pesos_Indicadores!$B$5:$B$17=$A$11)*I165+(Pesos_Indicadores!$B$5:$B$17&lt;&gt;$A$11)*Pesos_Indicadores!$G$5:$G$17*(1-I165)/(1-$B$11)),Normalizacao!$AK$5:$AK$17)/J165,""))</f>
        <v>0.840532458278295</v>
      </c>
      <c r="N165" s="17" t="str">
        <f aca="false">IF(K165="","",IF(INDEX(K165:M165,$B$5)&gt;=MAX(K165:M165),$B$4,INDEX(Pontuacao!$A$29:$A$31,MATCH(MAX(K165:M165),K165:M165,0))))</f>
        <v>Microsoft Azure</v>
      </c>
      <c r="O165" s="43" t="str">
        <f aca="false">IF(OR(N165="",N165=$B$4,ABS(I165-$B$11)&lt;0.000000001),"",ABS(I165-$B$11))</f>
        <v/>
      </c>
      <c r="Q165" s="60" t="n">
        <f aca="false">(ROW()-17)*$B$6</f>
        <v>0.74</v>
      </c>
      <c r="R165" s="43" t="n">
        <f aca="false">IFERROR(SUMPRODUCT(Normalizacao!$AL$5:$AL$17,Pesos_Indicadores!$I$5:$I$17,((Pesos_Indicadores!$B$5:$B$17=$A$12)*Q165+(Pesos_Indicadores!$B$5:$B$17&lt;&gt;$A$12)*Pesos_Indicadores!$G$5:$G$17*(1-Q165)/(1-$B$12))),0)</f>
        <v>0.97</v>
      </c>
      <c r="S165" s="60" t="n">
        <f aca="false">IF(R165=0,"",IFERROR(SUMPRODUCT(Normalizacao!$AL$5:$AL$17,Pesos_Indicadores!$I$5:$I$17,((Pesos_Indicadores!$B$5:$B$17=$A$12)*Q165+(Pesos_Indicadores!$B$5:$B$17&lt;&gt;$A$12)*Pesos_Indicadores!$G$5:$G$17*(1-Q165)/(1-$B$12)),Normalizacao!$AI$5:$AI$17)/R165,""))</f>
        <v>0.744457583335299</v>
      </c>
      <c r="T165" s="60" t="n">
        <f aca="false">IF(R165=0,"",IFERROR(SUMPRODUCT(Normalizacao!$AL$5:$AL$17,Pesos_Indicadores!$I$5:$I$17,((Pesos_Indicadores!$B$5:$B$17=$A$12)*Q165+(Pesos_Indicadores!$B$5:$B$17&lt;&gt;$A$12)*Pesos_Indicadores!$G$5:$G$17*(1-Q165)/(1-$B$12)),Normalizacao!$AJ$5:$AJ$17)/R165,""))</f>
        <v>0.778817234424025</v>
      </c>
      <c r="U165" s="60" t="n">
        <f aca="false">IF(R165=0,"",IFERROR(SUMPRODUCT(Normalizacao!$AL$5:$AL$17,Pesos_Indicadores!$I$5:$I$17,((Pesos_Indicadores!$B$5:$B$17=$A$12)*Q165+(Pesos_Indicadores!$B$5:$B$17&lt;&gt;$A$12)*Pesos_Indicadores!$G$5:$G$17*(1-Q165)/(1-$B$12)),Normalizacao!$AK$5:$AK$17)/R165,""))</f>
        <v>0.827175082198942</v>
      </c>
      <c r="V165" s="17" t="str">
        <f aca="false">IF(S165="","",IF(INDEX(S165:U165,$B$5)&gt;=MAX(S165:U165),$B$4,INDEX(Pontuacao!$A$29:$A$31,MATCH(MAX(S165:U165),S165:U165,0))))</f>
        <v>Microsoft Azure</v>
      </c>
      <c r="W165" s="43" t="str">
        <f aca="false">IF(OR(V165="",V165=$B$4,ABS(Q165-$B$12)&lt;0.000000001),"",ABS(Q165-$B$12))</f>
        <v/>
      </c>
    </row>
    <row r="166" customFormat="false" ht="15" hidden="false" customHeight="true" outlineLevel="0" collapsed="false">
      <c r="A166" s="60" t="n">
        <f aca="false">(ROW()-17)*$B$6</f>
        <v>0.745</v>
      </c>
      <c r="B166" s="43" t="n">
        <f aca="false">IFERROR(SUMPRODUCT(Normalizacao!$AL$5:$AL$17,Pesos_Indicadores!$I$5:$I$17,((Pesos_Indicadores!$B$5:$B$17=$A$10)*A166+(Pesos_Indicadores!$B$5:$B$17&lt;&gt;$A$10)*Pesos_Indicadores!$G$5:$G$17*(1-A166)/(1-$B$10))),0)</f>
        <v>0.994115384615385</v>
      </c>
      <c r="C166" s="60" t="n">
        <f aca="false">IF(B166=0,"",IFERROR(SUMPRODUCT(Normalizacao!$AL$5:$AL$17,Pesos_Indicadores!$I$5:$I$17,((Pesos_Indicadores!$B$5:$B$17=$A$10)*A166+(Pesos_Indicadores!$B$5:$B$17&lt;&gt;$A$10)*Pesos_Indicadores!$G$5:$G$17*(1-A166)/(1-$B$10)),Normalizacao!$AI$5:$AI$17)/B166,""))</f>
        <v>0.663334410935536</v>
      </c>
      <c r="D166" s="60" t="n">
        <f aca="false">IF(B166=0,"",IFERROR(SUMPRODUCT(Normalizacao!$AL$5:$AL$17,Pesos_Indicadores!$I$5:$I$17,((Pesos_Indicadores!$B$5:$B$17=$A$10)*A166+(Pesos_Indicadores!$B$5:$B$17&lt;&gt;$A$10)*Pesos_Indicadores!$G$5:$G$17*(1-A166)/(1-$B$10)),Normalizacao!$AJ$5:$AJ$17)/B166,""))</f>
        <v>0.855465040093796</v>
      </c>
      <c r="E166" s="60" t="n">
        <f aca="false">IF(B166=0,"",IFERROR(SUMPRODUCT(Normalizacao!$AL$5:$AL$17,Pesos_Indicadores!$I$5:$I$17,((Pesos_Indicadores!$B$5:$B$17=$A$10)*A166+(Pesos_Indicadores!$B$5:$B$17&lt;&gt;$A$10)*Pesos_Indicadores!$G$5:$G$17*(1-A166)/(1-$B$10)),Normalizacao!$AK$5:$AK$17)/B166,""))</f>
        <v>0.873882193225706</v>
      </c>
      <c r="F166" s="17" t="str">
        <f aca="false">IF(C166="","",IF(INDEX(C166:E166,$B$5)&gt;=MAX(C166:E166),$B$4,INDEX(Pontuacao!$A$29:$A$31,MATCH(MAX(C166:E166),C166:E166,0))))</f>
        <v>Microsoft Azure</v>
      </c>
      <c r="G166" s="43" t="str">
        <f aca="false">IF(OR(F166="",F166=$B$4,ABS(A166-$B$10)&lt;0.000000001),"",ABS(A166-$B$10))</f>
        <v/>
      </c>
      <c r="I166" s="60" t="n">
        <f aca="false">(ROW()-17)*$B$6</f>
        <v>0.745</v>
      </c>
      <c r="J166" s="43" t="n">
        <f aca="false">IFERROR(SUMPRODUCT(Normalizacao!$AL$5:$AL$17,Pesos_Indicadores!$I$5:$I$17,((Pesos_Indicadores!$B$5:$B$17=$A$11)*I166+(Pesos_Indicadores!$B$5:$B$17&lt;&gt;$A$11)*Pesos_Indicadores!$G$5:$G$17*(1-I166)/(1-$B$11))),0)</f>
        <v>0.828076923076923</v>
      </c>
      <c r="K166" s="60" t="n">
        <f aca="false">IF(J166=0,"",IFERROR(SUMPRODUCT(Normalizacao!$AL$5:$AL$17,Pesos_Indicadores!$I$5:$I$17,((Pesos_Indicadores!$B$5:$B$17=$A$11)*I166+(Pesos_Indicadores!$B$5:$B$17&lt;&gt;$A$11)*Pesos_Indicadores!$G$5:$G$17*(1-I166)/(1-$B$11)),Normalizacao!$AI$5:$AI$17)/J166,""))</f>
        <v>0.815563477229899</v>
      </c>
      <c r="L166" s="60" t="n">
        <f aca="false">IF(J166=0,"",IFERROR(SUMPRODUCT(Normalizacao!$AL$5:$AL$17,Pesos_Indicadores!$I$5:$I$17,((Pesos_Indicadores!$B$5:$B$17=$A$11)*I166+(Pesos_Indicadores!$B$5:$B$17&lt;&gt;$A$11)*Pesos_Indicadores!$G$5:$G$17*(1-I166)/(1-$B$11)),Normalizacao!$AJ$5:$AJ$17)/J166,""))</f>
        <v>0.823458377087582</v>
      </c>
      <c r="M166" s="60" t="n">
        <f aca="false">IF(J166=0,"",IFERROR(SUMPRODUCT(Normalizacao!$AL$5:$AL$17,Pesos_Indicadores!$I$5:$I$17,((Pesos_Indicadores!$B$5:$B$17=$A$11)*I166+(Pesos_Indicadores!$B$5:$B$17&lt;&gt;$A$11)*Pesos_Indicadores!$G$5:$G$17*(1-I166)/(1-$B$11)),Normalizacao!$AK$5:$AK$17)/J166,""))</f>
        <v>0.840695156226027</v>
      </c>
      <c r="N166" s="17" t="str">
        <f aca="false">IF(K166="","",IF(INDEX(K166:M166,$B$5)&gt;=MAX(K166:M166),$B$4,INDEX(Pontuacao!$A$29:$A$31,MATCH(MAX(K166:M166),K166:M166,0))))</f>
        <v>Microsoft Azure</v>
      </c>
      <c r="O166" s="43" t="str">
        <f aca="false">IF(OR(N166="",N166=$B$4,ABS(I166-$B$11)&lt;0.000000001),"",ABS(I166-$B$11))</f>
        <v/>
      </c>
      <c r="Q166" s="60" t="n">
        <f aca="false">(ROW()-17)*$B$6</f>
        <v>0.745</v>
      </c>
      <c r="R166" s="43" t="n">
        <f aca="false">IFERROR(SUMPRODUCT(Normalizacao!$AL$5:$AL$17,Pesos_Indicadores!$I$5:$I$17,((Pesos_Indicadores!$B$5:$B$17=$A$12)*Q166+(Pesos_Indicadores!$B$5:$B$17&lt;&gt;$A$12)*Pesos_Indicadores!$G$5:$G$17*(1-Q166)/(1-$B$12))),0)</f>
        <v>0.970576923076923</v>
      </c>
      <c r="S166" s="60" t="n">
        <f aca="false">IF(R166=0,"",IFERROR(SUMPRODUCT(Normalizacao!$AL$5:$AL$17,Pesos_Indicadores!$I$5:$I$17,((Pesos_Indicadores!$B$5:$B$17=$A$12)*Q166+(Pesos_Indicadores!$B$5:$B$17&lt;&gt;$A$12)*Pesos_Indicadores!$G$5:$G$17*(1-Q166)/(1-$B$12)),Normalizacao!$AI$5:$AI$17)/R166,""))</f>
        <v>0.744567399397608</v>
      </c>
      <c r="T166" s="60" t="n">
        <f aca="false">IF(R166=0,"",IFERROR(SUMPRODUCT(Normalizacao!$AL$5:$AL$17,Pesos_Indicadores!$I$5:$I$17,((Pesos_Indicadores!$B$5:$B$17=$A$12)*Q166+(Pesos_Indicadores!$B$5:$B$17&lt;&gt;$A$12)*Pesos_Indicadores!$G$5:$G$17*(1-Q166)/(1-$B$12)),Normalizacao!$AJ$5:$AJ$17)/R166,""))</f>
        <v>0.778246256924044</v>
      </c>
      <c r="U166" s="60" t="n">
        <f aca="false">IF(R166=0,"",IFERROR(SUMPRODUCT(Normalizacao!$AL$5:$AL$17,Pesos_Indicadores!$I$5:$I$17,((Pesos_Indicadores!$B$5:$B$17=$A$12)*Q166+(Pesos_Indicadores!$B$5:$B$17&lt;&gt;$A$12)*Pesos_Indicadores!$G$5:$G$17*(1-Q166)/(1-$B$12)),Normalizacao!$AK$5:$AK$17)/R166,""))</f>
        <v>0.826884313778118</v>
      </c>
      <c r="V166" s="17" t="str">
        <f aca="false">IF(S166="","",IF(INDEX(S166:U166,$B$5)&gt;=MAX(S166:U166),$B$4,INDEX(Pontuacao!$A$29:$A$31,MATCH(MAX(S166:U166),S166:U166,0))))</f>
        <v>Microsoft Azure</v>
      </c>
      <c r="W166" s="43" t="str">
        <f aca="false">IF(OR(V166="",V166=$B$4,ABS(Q166-$B$12)&lt;0.000000001),"",ABS(Q166-$B$12))</f>
        <v/>
      </c>
    </row>
    <row r="167" customFormat="false" ht="15" hidden="false" customHeight="true" outlineLevel="0" collapsed="false">
      <c r="A167" s="60" t="n">
        <f aca="false">(ROW()-17)*$B$6</f>
        <v>0.75</v>
      </c>
      <c r="B167" s="43" t="n">
        <f aca="false">IFERROR(SUMPRODUCT(Normalizacao!$AL$5:$AL$17,Pesos_Indicadores!$I$5:$I$17,((Pesos_Indicadores!$B$5:$B$17=$A$10)*A167+(Pesos_Indicadores!$B$5:$B$17&lt;&gt;$A$10)*Pesos_Indicadores!$G$5:$G$17*(1-A167)/(1-$B$10))),0)</f>
        <v>0.994230769230769</v>
      </c>
      <c r="C167" s="60" t="n">
        <f aca="false">IF(B167=0,"",IFERROR(SUMPRODUCT(Normalizacao!$AL$5:$AL$17,Pesos_Indicadores!$I$5:$I$17,((Pesos_Indicadores!$B$5:$B$17=$A$10)*A167+(Pesos_Indicadores!$B$5:$B$17&lt;&gt;$A$10)*Pesos_Indicadores!$G$5:$G$17*(1-A167)/(1-$B$10)),Normalizacao!$AI$5:$AI$17)/B167,""))</f>
        <v>0.662710962293464</v>
      </c>
      <c r="D167" s="60" t="n">
        <f aca="false">IF(B167=0,"",IFERROR(SUMPRODUCT(Normalizacao!$AL$5:$AL$17,Pesos_Indicadores!$I$5:$I$17,((Pesos_Indicadores!$B$5:$B$17=$A$10)*A167+(Pesos_Indicadores!$B$5:$B$17&lt;&gt;$A$10)*Pesos_Indicadores!$G$5:$G$17*(1-A167)/(1-$B$10)),Normalizacao!$AJ$5:$AJ$17)/B167,""))</f>
        <v>0.856108611554958</v>
      </c>
      <c r="E167" s="60" t="n">
        <f aca="false">IF(B167=0,"",IFERROR(SUMPRODUCT(Normalizacao!$AL$5:$AL$17,Pesos_Indicadores!$I$5:$I$17,((Pesos_Indicadores!$B$5:$B$17=$A$10)*A167+(Pesos_Indicadores!$B$5:$B$17&lt;&gt;$A$10)*Pesos_Indicadores!$G$5:$G$17*(1-A167)/(1-$B$10)),Normalizacao!$AK$5:$AK$17)/B167,""))</f>
        <v>0.874267697562793</v>
      </c>
      <c r="F167" s="17" t="str">
        <f aca="false">IF(C167="","",IF(INDEX(C167:E167,$B$5)&gt;=MAX(C167:E167),$B$4,INDEX(Pontuacao!$A$29:$A$31,MATCH(MAX(C167:E167),C167:E167,0))))</f>
        <v>Microsoft Azure</v>
      </c>
      <c r="G167" s="43" t="str">
        <f aca="false">IF(OR(F167="",F167=$B$4,ABS(A167-$B$10)&lt;0.000000001),"",ABS(A167-$B$10))</f>
        <v/>
      </c>
      <c r="I167" s="60" t="n">
        <f aca="false">(ROW()-17)*$B$6</f>
        <v>0.75</v>
      </c>
      <c r="J167" s="43" t="n">
        <f aca="false">IFERROR(SUMPRODUCT(Normalizacao!$AL$5:$AL$17,Pesos_Indicadores!$I$5:$I$17,((Pesos_Indicadores!$B$5:$B$17=$A$11)*I167+(Pesos_Indicadores!$B$5:$B$17&lt;&gt;$A$11)*Pesos_Indicadores!$G$5:$G$17*(1-I167)/(1-$B$11))),0)</f>
        <v>0.826923076923077</v>
      </c>
      <c r="K167" s="60" t="n">
        <f aca="false">IF(J167=0,"",IFERROR(SUMPRODUCT(Normalizacao!$AL$5:$AL$17,Pesos_Indicadores!$I$5:$I$17,((Pesos_Indicadores!$B$5:$B$17=$A$11)*I167+(Pesos_Indicadores!$B$5:$B$17&lt;&gt;$A$11)*Pesos_Indicadores!$G$5:$G$17*(1-I167)/(1-$B$11)),Normalizacao!$AI$5:$AI$17)/J167,""))</f>
        <v>0.816191594380288</v>
      </c>
      <c r="L167" s="60" t="n">
        <f aca="false">IF(J167=0,"",IFERROR(SUMPRODUCT(Normalizacao!$AL$5:$AL$17,Pesos_Indicadores!$I$5:$I$17,((Pesos_Indicadores!$B$5:$B$17=$A$11)*I167+(Pesos_Indicadores!$B$5:$B$17&lt;&gt;$A$11)*Pesos_Indicadores!$G$5:$G$17*(1-I167)/(1-$B$11)),Normalizacao!$AJ$5:$AJ$17)/J167,""))</f>
        <v>0.823942492416583</v>
      </c>
      <c r="M167" s="60" t="n">
        <f aca="false">IF(J167=0,"",IFERROR(SUMPRODUCT(Normalizacao!$AL$5:$AL$17,Pesos_Indicadores!$I$5:$I$17,((Pesos_Indicadores!$B$5:$B$17=$A$11)*I167+(Pesos_Indicadores!$B$5:$B$17&lt;&gt;$A$11)*Pesos_Indicadores!$G$5:$G$17*(1-I167)/(1-$B$11)),Normalizacao!$AK$5:$AK$17)/J167,""))</f>
        <v>0.840858308214542</v>
      </c>
      <c r="N167" s="17" t="str">
        <f aca="false">IF(K167="","",IF(INDEX(K167:M167,$B$5)&gt;=MAX(K167:M167),$B$4,INDEX(Pontuacao!$A$29:$A$31,MATCH(MAX(K167:M167),K167:M167,0))))</f>
        <v>Microsoft Azure</v>
      </c>
      <c r="O167" s="43" t="str">
        <f aca="false">IF(OR(N167="",N167=$B$4,ABS(I167-$B$11)&lt;0.000000001),"",ABS(I167-$B$11))</f>
        <v/>
      </c>
      <c r="Q167" s="60" t="n">
        <f aca="false">(ROW()-17)*$B$6</f>
        <v>0.75</v>
      </c>
      <c r="R167" s="43" t="n">
        <f aca="false">IFERROR(SUMPRODUCT(Normalizacao!$AL$5:$AL$17,Pesos_Indicadores!$I$5:$I$17,((Pesos_Indicadores!$B$5:$B$17=$A$12)*Q167+(Pesos_Indicadores!$B$5:$B$17&lt;&gt;$A$12)*Pesos_Indicadores!$G$5:$G$17*(1-Q167)/(1-$B$12))),0)</f>
        <v>0.971153846153846</v>
      </c>
      <c r="S167" s="60" t="n">
        <f aca="false">IF(R167=0,"",IFERROR(SUMPRODUCT(Normalizacao!$AL$5:$AL$17,Pesos_Indicadores!$I$5:$I$17,((Pesos_Indicadores!$B$5:$B$17=$A$12)*Q167+(Pesos_Indicadores!$B$5:$B$17&lt;&gt;$A$12)*Pesos_Indicadores!$G$5:$G$17*(1-Q167)/(1-$B$12)),Normalizacao!$AI$5:$AI$17)/R167,""))</f>
        <v>0.744677084985386</v>
      </c>
      <c r="T167" s="60" t="n">
        <f aca="false">IF(R167=0,"",IFERROR(SUMPRODUCT(Normalizacao!$AL$5:$AL$17,Pesos_Indicadores!$I$5:$I$17,((Pesos_Indicadores!$B$5:$B$17=$A$12)*Q167+(Pesos_Indicadores!$B$5:$B$17&lt;&gt;$A$12)*Pesos_Indicadores!$G$5:$G$17*(1-Q167)/(1-$B$12)),Normalizacao!$AJ$5:$AJ$17)/R167,""))</f>
        <v>0.777675957813173</v>
      </c>
      <c r="U167" s="60" t="n">
        <f aca="false">IF(R167=0,"",IFERROR(SUMPRODUCT(Normalizacao!$AL$5:$AL$17,Pesos_Indicadores!$I$5:$I$17,((Pesos_Indicadores!$B$5:$B$17=$A$12)*Q167+(Pesos_Indicadores!$B$5:$B$17&lt;&gt;$A$12)*Pesos_Indicadores!$G$5:$G$17*(1-Q167)/(1-$B$12)),Normalizacao!$AK$5:$AK$17)/R167,""))</f>
        <v>0.826593890824726</v>
      </c>
      <c r="V167" s="17" t="str">
        <f aca="false">IF(S167="","",IF(INDEX(S167:U167,$B$5)&gt;=MAX(S167:U167),$B$4,INDEX(Pontuacao!$A$29:$A$31,MATCH(MAX(S167:U167),S167:U167,0))))</f>
        <v>Microsoft Azure</v>
      </c>
      <c r="W167" s="43" t="str">
        <f aca="false">IF(OR(V167="",V167=$B$4,ABS(Q167-$B$12)&lt;0.000000001),"",ABS(Q167-$B$12))</f>
        <v/>
      </c>
    </row>
    <row r="168" customFormat="false" ht="15" hidden="false" customHeight="true" outlineLevel="0" collapsed="false">
      <c r="A168" s="60" t="n">
        <f aca="false">(ROW()-17)*$B$6</f>
        <v>0.755</v>
      </c>
      <c r="B168" s="43" t="n">
        <f aca="false">IFERROR(SUMPRODUCT(Normalizacao!$AL$5:$AL$17,Pesos_Indicadores!$I$5:$I$17,((Pesos_Indicadores!$B$5:$B$17=$A$10)*A168+(Pesos_Indicadores!$B$5:$B$17&lt;&gt;$A$10)*Pesos_Indicadores!$G$5:$G$17*(1-A168)/(1-$B$10))),0)</f>
        <v>0.994346153846154</v>
      </c>
      <c r="C168" s="60" t="n">
        <f aca="false">IF(B168=0,"",IFERROR(SUMPRODUCT(Normalizacao!$AL$5:$AL$17,Pesos_Indicadores!$I$5:$I$17,((Pesos_Indicadores!$B$5:$B$17=$A$10)*A168+(Pesos_Indicadores!$B$5:$B$17&lt;&gt;$A$10)*Pesos_Indicadores!$G$5:$G$17*(1-A168)/(1-$B$10)),Normalizacao!$AI$5:$AI$17)/B168,""))</f>
        <v>0.662087658342215</v>
      </c>
      <c r="D168" s="60" t="n">
        <f aca="false">IF(B168=0,"",IFERROR(SUMPRODUCT(Normalizacao!$AL$5:$AL$17,Pesos_Indicadores!$I$5:$I$17,((Pesos_Indicadores!$B$5:$B$17=$A$10)*A168+(Pesos_Indicadores!$B$5:$B$17&lt;&gt;$A$10)*Pesos_Indicadores!$G$5:$G$17*(1-A168)/(1-$B$10)),Normalizacao!$AJ$5:$AJ$17)/B168,""))</f>
        <v>0.856752033655164</v>
      </c>
      <c r="E168" s="60" t="n">
        <f aca="false">IF(B168=0,"",IFERROR(SUMPRODUCT(Normalizacao!$AL$5:$AL$17,Pesos_Indicadores!$I$5:$I$17,((Pesos_Indicadores!$B$5:$B$17=$A$10)*A168+(Pesos_Indicadores!$B$5:$B$17&lt;&gt;$A$10)*Pesos_Indicadores!$G$5:$G$17*(1-A168)/(1-$B$10)),Normalizacao!$AK$5:$AK$17)/B168,""))</f>
        <v>0.8746531124315</v>
      </c>
      <c r="F168" s="17" t="str">
        <f aca="false">IF(C168="","",IF(INDEX(C168:E168,$B$5)&gt;=MAX(C168:E168),$B$4,INDEX(Pontuacao!$A$29:$A$31,MATCH(MAX(C168:E168),C168:E168,0))))</f>
        <v>Microsoft Azure</v>
      </c>
      <c r="G168" s="43" t="str">
        <f aca="false">IF(OR(F168="",F168=$B$4,ABS(A168-$B$10)&lt;0.000000001),"",ABS(A168-$B$10))</f>
        <v/>
      </c>
      <c r="I168" s="60" t="n">
        <f aca="false">(ROW()-17)*$B$6</f>
        <v>0.755</v>
      </c>
      <c r="J168" s="43" t="n">
        <f aca="false">IFERROR(SUMPRODUCT(Normalizacao!$AL$5:$AL$17,Pesos_Indicadores!$I$5:$I$17,((Pesos_Indicadores!$B$5:$B$17=$A$11)*I168+(Pesos_Indicadores!$B$5:$B$17&lt;&gt;$A$11)*Pesos_Indicadores!$G$5:$G$17*(1-I168)/(1-$B$11))),0)</f>
        <v>0.825769230769231</v>
      </c>
      <c r="K168" s="60" t="n">
        <f aca="false">IF(J168=0,"",IFERROR(SUMPRODUCT(Normalizacao!$AL$5:$AL$17,Pesos_Indicadores!$I$5:$I$17,((Pesos_Indicadores!$B$5:$B$17=$A$11)*I168+(Pesos_Indicadores!$B$5:$B$17&lt;&gt;$A$11)*Pesos_Indicadores!$G$5:$G$17*(1-I168)/(1-$B$11)),Normalizacao!$AI$5:$AI$17)/J168,""))</f>
        <v>0.816821466865053</v>
      </c>
      <c r="L168" s="60" t="n">
        <f aca="false">IF(J168=0,"",IFERROR(SUMPRODUCT(Normalizacao!$AL$5:$AL$17,Pesos_Indicadores!$I$5:$I$17,((Pesos_Indicadores!$B$5:$B$17=$A$11)*I168+(Pesos_Indicadores!$B$5:$B$17&lt;&gt;$A$11)*Pesos_Indicadores!$G$5:$G$17*(1-I168)/(1-$B$11)),Normalizacao!$AJ$5:$AJ$17)/J168,""))</f>
        <v>0.824427960652883</v>
      </c>
      <c r="M168" s="60" t="n">
        <f aca="false">IF(J168=0,"",IFERROR(SUMPRODUCT(Normalizacao!$AL$5:$AL$17,Pesos_Indicadores!$I$5:$I$17,((Pesos_Indicadores!$B$5:$B$17=$A$11)*I168+(Pesos_Indicadores!$B$5:$B$17&lt;&gt;$A$11)*Pesos_Indicadores!$G$5:$G$17*(1-I168)/(1-$B$11)),Normalizacao!$AK$5:$AK$17)/J168,""))</f>
        <v>0.841021916147134</v>
      </c>
      <c r="N168" s="17" t="str">
        <f aca="false">IF(K168="","",IF(INDEX(K168:M168,$B$5)&gt;=MAX(K168:M168),$B$4,INDEX(Pontuacao!$A$29:$A$31,MATCH(MAX(K168:M168),K168:M168,0))))</f>
        <v>Microsoft Azure</v>
      </c>
      <c r="O168" s="43" t="str">
        <f aca="false">IF(OR(N168="",N168=$B$4,ABS(I168-$B$11)&lt;0.000000001),"",ABS(I168-$B$11))</f>
        <v/>
      </c>
      <c r="Q168" s="60" t="n">
        <f aca="false">(ROW()-17)*$B$6</f>
        <v>0.755</v>
      </c>
      <c r="R168" s="43" t="n">
        <f aca="false">IFERROR(SUMPRODUCT(Normalizacao!$AL$5:$AL$17,Pesos_Indicadores!$I$5:$I$17,((Pesos_Indicadores!$B$5:$B$17=$A$12)*Q168+(Pesos_Indicadores!$B$5:$B$17&lt;&gt;$A$12)*Pesos_Indicadores!$G$5:$G$17*(1-Q168)/(1-$B$12))),0)</f>
        <v>0.971730769230769</v>
      </c>
      <c r="S168" s="60" t="n">
        <f aca="false">IF(R168=0,"",IFERROR(SUMPRODUCT(Normalizacao!$AL$5:$AL$17,Pesos_Indicadores!$I$5:$I$17,((Pesos_Indicadores!$B$5:$B$17=$A$12)*Q168+(Pesos_Indicadores!$B$5:$B$17&lt;&gt;$A$12)*Pesos_Indicadores!$G$5:$G$17*(1-Q168)/(1-$B$12)),Normalizacao!$AI$5:$AI$17)/R168,""))</f>
        <v>0.744786640331027</v>
      </c>
      <c r="T168" s="60" t="n">
        <f aca="false">IF(R168=0,"",IFERROR(SUMPRODUCT(Normalizacao!$AL$5:$AL$17,Pesos_Indicadores!$I$5:$I$17,((Pesos_Indicadores!$B$5:$B$17=$A$12)*Q168+(Pesos_Indicadores!$B$5:$B$17&lt;&gt;$A$12)*Pesos_Indicadores!$G$5:$G$17*(1-Q168)/(1-$B$12)),Normalizacao!$AJ$5:$AJ$17)/R168,""))</f>
        <v>0.777106335883117</v>
      </c>
      <c r="U168" s="60" t="n">
        <f aca="false">IF(R168=0,"",IFERROR(SUMPRODUCT(Normalizacao!$AL$5:$AL$17,Pesos_Indicadores!$I$5:$I$17,((Pesos_Indicadores!$B$5:$B$17=$A$12)*Q168+(Pesos_Indicadores!$B$5:$B$17&lt;&gt;$A$12)*Pesos_Indicadores!$G$5:$G$17*(1-Q168)/(1-$B$12)),Normalizacao!$AK$5:$AK$17)/R168,""))</f>
        <v>0.826303812723445</v>
      </c>
      <c r="V168" s="17" t="str">
        <f aca="false">IF(S168="","",IF(INDEX(S168:U168,$B$5)&gt;=MAX(S168:U168),$B$4,INDEX(Pontuacao!$A$29:$A$31,MATCH(MAX(S168:U168),S168:U168,0))))</f>
        <v>Microsoft Azure</v>
      </c>
      <c r="W168" s="43" t="str">
        <f aca="false">IF(OR(V168="",V168=$B$4,ABS(Q168-$B$12)&lt;0.000000001),"",ABS(Q168-$B$12))</f>
        <v/>
      </c>
    </row>
    <row r="169" customFormat="false" ht="15" hidden="false" customHeight="true" outlineLevel="0" collapsed="false">
      <c r="A169" s="60" t="n">
        <f aca="false">(ROW()-17)*$B$6</f>
        <v>0.76</v>
      </c>
      <c r="B169" s="43" t="n">
        <f aca="false">IFERROR(SUMPRODUCT(Normalizacao!$AL$5:$AL$17,Pesos_Indicadores!$I$5:$I$17,((Pesos_Indicadores!$B$5:$B$17=$A$10)*A169+(Pesos_Indicadores!$B$5:$B$17&lt;&gt;$A$10)*Pesos_Indicadores!$G$5:$G$17*(1-A169)/(1-$B$10))),0)</f>
        <v>0.994461538461539</v>
      </c>
      <c r="C169" s="60" t="n">
        <f aca="false">IF(B169=0,"",IFERROR(SUMPRODUCT(Normalizacao!$AL$5:$AL$17,Pesos_Indicadores!$I$5:$I$17,((Pesos_Indicadores!$B$5:$B$17=$A$10)*A169+(Pesos_Indicadores!$B$5:$B$17&lt;&gt;$A$10)*Pesos_Indicadores!$G$5:$G$17*(1-A169)/(1-$B$10)),Normalizacao!$AI$5:$AI$17)/B169,""))</f>
        <v>0.661464499031425</v>
      </c>
      <c r="D169" s="60" t="n">
        <f aca="false">IF(B169=0,"",IFERROR(SUMPRODUCT(Normalizacao!$AL$5:$AL$17,Pesos_Indicadores!$I$5:$I$17,((Pesos_Indicadores!$B$5:$B$17=$A$10)*A169+(Pesos_Indicadores!$B$5:$B$17&lt;&gt;$A$10)*Pesos_Indicadores!$G$5:$G$17*(1-A169)/(1-$B$10)),Normalizacao!$AJ$5:$AJ$17)/B169,""))</f>
        <v>0.857395306446406</v>
      </c>
      <c r="E169" s="60" t="n">
        <f aca="false">IF(B169=0,"",IFERROR(SUMPRODUCT(Normalizacao!$AL$5:$AL$17,Pesos_Indicadores!$I$5:$I$17,((Pesos_Indicadores!$B$5:$B$17=$A$10)*A169+(Pesos_Indicadores!$B$5:$B$17&lt;&gt;$A$10)*Pesos_Indicadores!$G$5:$G$17*(1-A169)/(1-$B$10)),Normalizacao!$AK$5:$AK$17)/B169,""))</f>
        <v>0.87503843786297</v>
      </c>
      <c r="F169" s="17" t="str">
        <f aca="false">IF(C169="","",IF(INDEX(C169:E169,$B$5)&gt;=MAX(C169:E169),$B$4,INDEX(Pontuacao!$A$29:$A$31,MATCH(MAX(C169:E169),C169:E169,0))))</f>
        <v>Microsoft Azure</v>
      </c>
      <c r="G169" s="43" t="str">
        <f aca="false">IF(OR(F169="",F169=$B$4,ABS(A169-$B$10)&lt;0.000000001),"",ABS(A169-$B$10))</f>
        <v/>
      </c>
      <c r="I169" s="60" t="n">
        <f aca="false">(ROW()-17)*$B$6</f>
        <v>0.76</v>
      </c>
      <c r="J169" s="43" t="n">
        <f aca="false">IFERROR(SUMPRODUCT(Normalizacao!$AL$5:$AL$17,Pesos_Indicadores!$I$5:$I$17,((Pesos_Indicadores!$B$5:$B$17=$A$11)*I169+(Pesos_Indicadores!$B$5:$B$17&lt;&gt;$A$11)*Pesos_Indicadores!$G$5:$G$17*(1-I169)/(1-$B$11))),0)</f>
        <v>0.824615384615385</v>
      </c>
      <c r="K169" s="60" t="n">
        <f aca="false">IF(J169=0,"",IFERROR(SUMPRODUCT(Normalizacao!$AL$5:$AL$17,Pesos_Indicadores!$I$5:$I$17,((Pesos_Indicadores!$B$5:$B$17=$A$11)*I169+(Pesos_Indicadores!$B$5:$B$17&lt;&gt;$A$11)*Pesos_Indicadores!$G$5:$G$17*(1-I169)/(1-$B$11)),Normalizacao!$AI$5:$AI$17)/J169,""))</f>
        <v>0.817453102052666</v>
      </c>
      <c r="L169" s="60" t="n">
        <f aca="false">IF(J169=0,"",IFERROR(SUMPRODUCT(Normalizacao!$AL$5:$AL$17,Pesos_Indicadores!$I$5:$I$17,((Pesos_Indicadores!$B$5:$B$17=$A$11)*I169+(Pesos_Indicadores!$B$5:$B$17&lt;&gt;$A$11)*Pesos_Indicadores!$G$5:$G$17*(1-I169)/(1-$B$11)),Normalizacao!$AJ$5:$AJ$17)/J169,""))</f>
        <v>0.824914787475665</v>
      </c>
      <c r="M169" s="60" t="n">
        <f aca="false">IF(J169=0,"",IFERROR(SUMPRODUCT(Normalizacao!$AL$5:$AL$17,Pesos_Indicadores!$I$5:$I$17,((Pesos_Indicadores!$B$5:$B$17=$A$11)*I169+(Pesos_Indicadores!$B$5:$B$17&lt;&gt;$A$11)*Pesos_Indicadores!$G$5:$G$17*(1-I169)/(1-$B$11)),Normalizacao!$AK$5:$AK$17)/J169,""))</f>
        <v>0.841185981937746</v>
      </c>
      <c r="N169" s="17" t="str">
        <f aca="false">IF(K169="","",IF(INDEX(K169:M169,$B$5)&gt;=MAX(K169:M169),$B$4,INDEX(Pontuacao!$A$29:$A$31,MATCH(MAX(K169:M169),K169:M169,0))))</f>
        <v>Microsoft Azure</v>
      </c>
      <c r="O169" s="43" t="str">
        <f aca="false">IF(OR(N169="",N169=$B$4,ABS(I169-$B$11)&lt;0.000000001),"",ABS(I169-$B$11))</f>
        <v/>
      </c>
      <c r="Q169" s="60" t="n">
        <f aca="false">(ROW()-17)*$B$6</f>
        <v>0.76</v>
      </c>
      <c r="R169" s="43" t="n">
        <f aca="false">IFERROR(SUMPRODUCT(Normalizacao!$AL$5:$AL$17,Pesos_Indicadores!$I$5:$I$17,((Pesos_Indicadores!$B$5:$B$17=$A$12)*Q169+(Pesos_Indicadores!$B$5:$B$17&lt;&gt;$A$12)*Pesos_Indicadores!$G$5:$G$17*(1-Q169)/(1-$B$12))),0)</f>
        <v>0.972307692307692</v>
      </c>
      <c r="S169" s="60" t="n">
        <f aca="false">IF(R169=0,"",IFERROR(SUMPRODUCT(Normalizacao!$AL$5:$AL$17,Pesos_Indicadores!$I$5:$I$17,((Pesos_Indicadores!$B$5:$B$17=$A$12)*Q169+(Pesos_Indicadores!$B$5:$B$17&lt;&gt;$A$12)*Pesos_Indicadores!$G$5:$G$17*(1-Q169)/(1-$B$12)),Normalizacao!$AI$5:$AI$17)/R169,""))</f>
        <v>0.744896065666368</v>
      </c>
      <c r="T169" s="60" t="n">
        <f aca="false">IF(R169=0,"",IFERROR(SUMPRODUCT(Normalizacao!$AL$5:$AL$17,Pesos_Indicadores!$I$5:$I$17,((Pesos_Indicadores!$B$5:$B$17=$A$12)*Q169+(Pesos_Indicadores!$B$5:$B$17&lt;&gt;$A$12)*Pesos_Indicadores!$G$5:$G$17*(1-Q169)/(1-$B$12)),Normalizacao!$AJ$5:$AJ$17)/R169,""))</f>
        <v>0.776537389928454</v>
      </c>
      <c r="U169" s="60" t="n">
        <f aca="false">IF(R169=0,"",IFERROR(SUMPRODUCT(Normalizacao!$AL$5:$AL$17,Pesos_Indicadores!$I$5:$I$17,((Pesos_Indicadores!$B$5:$B$17=$A$12)*Q169+(Pesos_Indicadores!$B$5:$B$17&lt;&gt;$A$12)*Pesos_Indicadores!$G$5:$G$17*(1-Q169)/(1-$B$12)),Normalizacao!$AK$5:$AK$17)/R169,""))</f>
        <v>0.826014078860418</v>
      </c>
      <c r="V169" s="17" t="str">
        <f aca="false">IF(S169="","",IF(INDEX(S169:U169,$B$5)&gt;=MAX(S169:U169),$B$4,INDEX(Pontuacao!$A$29:$A$31,MATCH(MAX(S169:U169),S169:U169,0))))</f>
        <v>Microsoft Azure</v>
      </c>
      <c r="W169" s="43" t="str">
        <f aca="false">IF(OR(V169="",V169=$B$4,ABS(Q169-$B$12)&lt;0.000000001),"",ABS(Q169-$B$12))</f>
        <v/>
      </c>
    </row>
    <row r="170" customFormat="false" ht="15" hidden="false" customHeight="true" outlineLevel="0" collapsed="false">
      <c r="A170" s="60" t="n">
        <f aca="false">(ROW()-17)*$B$6</f>
        <v>0.765</v>
      </c>
      <c r="B170" s="43" t="n">
        <f aca="false">IFERROR(SUMPRODUCT(Normalizacao!$AL$5:$AL$17,Pesos_Indicadores!$I$5:$I$17,((Pesos_Indicadores!$B$5:$B$17=$A$10)*A170+(Pesos_Indicadores!$B$5:$B$17&lt;&gt;$A$10)*Pesos_Indicadores!$G$5:$G$17*(1-A170)/(1-$B$10))),0)</f>
        <v>0.994576923076923</v>
      </c>
      <c r="C170" s="60" t="n">
        <f aca="false">IF(B170=0,"",IFERROR(SUMPRODUCT(Normalizacao!$AL$5:$AL$17,Pesos_Indicadores!$I$5:$I$17,((Pesos_Indicadores!$B$5:$B$17=$A$10)*A170+(Pesos_Indicadores!$B$5:$B$17&lt;&gt;$A$10)*Pesos_Indicadores!$G$5:$G$17*(1-A170)/(1-$B$10)),Normalizacao!$AI$5:$AI$17)/B170,""))</f>
        <v>0.660841484310753</v>
      </c>
      <c r="D170" s="60" t="n">
        <f aca="false">IF(B170=0,"",IFERROR(SUMPRODUCT(Normalizacao!$AL$5:$AL$17,Pesos_Indicadores!$I$5:$I$17,((Pesos_Indicadores!$B$5:$B$17=$A$10)*A170+(Pesos_Indicadores!$B$5:$B$17&lt;&gt;$A$10)*Pesos_Indicadores!$G$5:$G$17*(1-A170)/(1-$B$10)),Normalizacao!$AJ$5:$AJ$17)/B170,""))</f>
        <v>0.858038429980648</v>
      </c>
      <c r="E170" s="60" t="n">
        <f aca="false">IF(B170=0,"",IFERROR(SUMPRODUCT(Normalizacao!$AL$5:$AL$17,Pesos_Indicadores!$I$5:$I$17,((Pesos_Indicadores!$B$5:$B$17=$A$10)*A170+(Pesos_Indicadores!$B$5:$B$17&lt;&gt;$A$10)*Pesos_Indicadores!$G$5:$G$17*(1-A170)/(1-$B$10)),Normalizacao!$AK$5:$AK$17)/B170,""))</f>
        <v>0.875423673888329</v>
      </c>
      <c r="F170" s="17" t="str">
        <f aca="false">IF(C170="","",IF(INDEX(C170:E170,$B$5)&gt;=MAX(C170:E170),$B$4,INDEX(Pontuacao!$A$29:$A$31,MATCH(MAX(C170:E170),C170:E170,0))))</f>
        <v>Microsoft Azure</v>
      </c>
      <c r="G170" s="43" t="str">
        <f aca="false">IF(OR(F170="",F170=$B$4,ABS(A170-$B$10)&lt;0.000000001),"",ABS(A170-$B$10))</f>
        <v/>
      </c>
      <c r="I170" s="60" t="n">
        <f aca="false">(ROW()-17)*$B$6</f>
        <v>0.765</v>
      </c>
      <c r="J170" s="43" t="n">
        <f aca="false">IFERROR(SUMPRODUCT(Normalizacao!$AL$5:$AL$17,Pesos_Indicadores!$I$5:$I$17,((Pesos_Indicadores!$B$5:$B$17=$A$11)*I170+(Pesos_Indicadores!$B$5:$B$17&lt;&gt;$A$11)*Pesos_Indicadores!$G$5:$G$17*(1-I170)/(1-$B$11))),0)</f>
        <v>0.823461538461539</v>
      </c>
      <c r="K170" s="60" t="n">
        <f aca="false">IF(J170=0,"",IFERROR(SUMPRODUCT(Normalizacao!$AL$5:$AL$17,Pesos_Indicadores!$I$5:$I$17,((Pesos_Indicadores!$B$5:$B$17=$A$11)*I170+(Pesos_Indicadores!$B$5:$B$17&lt;&gt;$A$11)*Pesos_Indicadores!$G$5:$G$17*(1-I170)/(1-$B$11)),Normalizacao!$AI$5:$AI$17)/J170,""))</f>
        <v>0.818086507352902</v>
      </c>
      <c r="L170" s="60" t="n">
        <f aca="false">IF(J170=0,"",IFERROR(SUMPRODUCT(Normalizacao!$AL$5:$AL$17,Pesos_Indicadores!$I$5:$I$17,((Pesos_Indicadores!$B$5:$B$17=$A$11)*I170+(Pesos_Indicadores!$B$5:$B$17&lt;&gt;$A$11)*Pesos_Indicadores!$G$5:$G$17*(1-I170)/(1-$B$11)),Normalizacao!$AJ$5:$AJ$17)/J170,""))</f>
        <v>0.825402978595943</v>
      </c>
      <c r="M170" s="60" t="n">
        <f aca="false">IF(J170=0,"",IFERROR(SUMPRODUCT(Normalizacao!$AL$5:$AL$17,Pesos_Indicadores!$I$5:$I$17,((Pesos_Indicadores!$B$5:$B$17=$A$11)*I170+(Pesos_Indicadores!$B$5:$B$17&lt;&gt;$A$11)*Pesos_Indicadores!$G$5:$G$17*(1-I170)/(1-$B$11)),Normalizacao!$AK$5:$AK$17)/J170,""))</f>
        <v>0.84135050751105</v>
      </c>
      <c r="N170" s="17" t="str">
        <f aca="false">IF(K170="","",IF(INDEX(K170:M170,$B$5)&gt;=MAX(K170:M170),$B$4,INDEX(Pontuacao!$A$29:$A$31,MATCH(MAX(K170:M170),K170:M170,0))))</f>
        <v>Microsoft Azure</v>
      </c>
      <c r="O170" s="43" t="str">
        <f aca="false">IF(OR(N170="",N170=$B$4,ABS(I170-$B$11)&lt;0.000000001),"",ABS(I170-$B$11))</f>
        <v/>
      </c>
      <c r="Q170" s="60" t="n">
        <f aca="false">(ROW()-17)*$B$6</f>
        <v>0.765</v>
      </c>
      <c r="R170" s="43" t="n">
        <f aca="false">IFERROR(SUMPRODUCT(Normalizacao!$AL$5:$AL$17,Pesos_Indicadores!$I$5:$I$17,((Pesos_Indicadores!$B$5:$B$17=$A$12)*Q170+(Pesos_Indicadores!$B$5:$B$17&lt;&gt;$A$12)*Pesos_Indicadores!$G$5:$G$17*(1-Q170)/(1-$B$12))),0)</f>
        <v>0.972884615384616</v>
      </c>
      <c r="S170" s="60" t="n">
        <f aca="false">IF(R170=0,"",IFERROR(SUMPRODUCT(Normalizacao!$AL$5:$AL$17,Pesos_Indicadores!$I$5:$I$17,((Pesos_Indicadores!$B$5:$B$17=$A$12)*Q170+(Pesos_Indicadores!$B$5:$B$17&lt;&gt;$A$12)*Pesos_Indicadores!$G$5:$G$17*(1-Q170)/(1-$B$12)),Normalizacao!$AI$5:$AI$17)/R170,""))</f>
        <v>0.745005361222698</v>
      </c>
      <c r="T170" s="60" t="n">
        <f aca="false">IF(R170=0,"",IFERROR(SUMPRODUCT(Normalizacao!$AL$5:$AL$17,Pesos_Indicadores!$I$5:$I$17,((Pesos_Indicadores!$B$5:$B$17=$A$12)*Q170+(Pesos_Indicadores!$B$5:$B$17&lt;&gt;$A$12)*Pesos_Indicadores!$G$5:$G$17*(1-Q170)/(1-$B$12)),Normalizacao!$AJ$5:$AJ$17)/R170,""))</f>
        <v>0.775969118746616</v>
      </c>
      <c r="U170" s="60" t="n">
        <f aca="false">IF(R170=0,"",IFERROR(SUMPRODUCT(Normalizacao!$AL$5:$AL$17,Pesos_Indicadores!$I$5:$I$17,((Pesos_Indicadores!$B$5:$B$17=$A$12)*Q170+(Pesos_Indicadores!$B$5:$B$17&lt;&gt;$A$12)*Pesos_Indicadores!$G$5:$G$17*(1-Q170)/(1-$B$12)),Normalizacao!$AK$5:$AK$17)/R170,""))</f>
        <v>0.825724688623241</v>
      </c>
      <c r="V170" s="17" t="str">
        <f aca="false">IF(S170="","",IF(INDEX(S170:U170,$B$5)&gt;=MAX(S170:U170),$B$4,INDEX(Pontuacao!$A$29:$A$31,MATCH(MAX(S170:U170),S170:U170,0))))</f>
        <v>Microsoft Azure</v>
      </c>
      <c r="W170" s="43" t="str">
        <f aca="false">IF(OR(V170="",V170=$B$4,ABS(Q170-$B$12)&lt;0.000000001),"",ABS(Q170-$B$12))</f>
        <v/>
      </c>
    </row>
    <row r="171" customFormat="false" ht="15" hidden="false" customHeight="true" outlineLevel="0" collapsed="false">
      <c r="A171" s="60" t="n">
        <f aca="false">(ROW()-17)*$B$6</f>
        <v>0.77</v>
      </c>
      <c r="B171" s="43" t="n">
        <f aca="false">IFERROR(SUMPRODUCT(Normalizacao!$AL$5:$AL$17,Pesos_Indicadores!$I$5:$I$17,((Pesos_Indicadores!$B$5:$B$17=$A$10)*A171+(Pesos_Indicadores!$B$5:$B$17&lt;&gt;$A$10)*Pesos_Indicadores!$G$5:$G$17*(1-A171)/(1-$B$10))),0)</f>
        <v>0.994692307692308</v>
      </c>
      <c r="C171" s="60" t="n">
        <f aca="false">IF(B171=0,"",IFERROR(SUMPRODUCT(Normalizacao!$AL$5:$AL$17,Pesos_Indicadores!$I$5:$I$17,((Pesos_Indicadores!$B$5:$B$17=$A$10)*A171+(Pesos_Indicadores!$B$5:$B$17&lt;&gt;$A$10)*Pesos_Indicadores!$G$5:$G$17*(1-A171)/(1-$B$10)),Normalizacao!$AI$5:$AI$17)/B171,""))</f>
        <v>0.660218614129882</v>
      </c>
      <c r="D171" s="60" t="n">
        <f aca="false">IF(B171=0,"",IFERROR(SUMPRODUCT(Normalizacao!$AL$5:$AL$17,Pesos_Indicadores!$I$5:$I$17,((Pesos_Indicadores!$B$5:$B$17=$A$10)*A171+(Pesos_Indicadores!$B$5:$B$17&lt;&gt;$A$10)*Pesos_Indicadores!$G$5:$G$17*(1-A171)/(1-$B$10)),Normalizacao!$AJ$5:$AJ$17)/B171,""))</f>
        <v>0.858681404309832</v>
      </c>
      <c r="E171" s="60" t="n">
        <f aca="false">IF(B171=0,"",IFERROR(SUMPRODUCT(Normalizacao!$AL$5:$AL$17,Pesos_Indicadores!$I$5:$I$17,((Pesos_Indicadores!$B$5:$B$17=$A$10)*A171+(Pesos_Indicadores!$B$5:$B$17&lt;&gt;$A$10)*Pesos_Indicadores!$G$5:$G$17*(1-A171)/(1-$B$10)),Normalizacao!$AK$5:$AK$17)/B171,""))</f>
        <v>0.875808820538693</v>
      </c>
      <c r="F171" s="17" t="str">
        <f aca="false">IF(C171="","",IF(INDEX(C171:E171,$B$5)&gt;=MAX(C171:E171),$B$4,INDEX(Pontuacao!$A$29:$A$31,MATCH(MAX(C171:E171),C171:E171,0))))</f>
        <v>Microsoft Azure</v>
      </c>
      <c r="G171" s="43" t="str">
        <f aca="false">IF(OR(F171="",F171=$B$4,ABS(A171-$B$10)&lt;0.000000001),"",ABS(A171-$B$10))</f>
        <v/>
      </c>
      <c r="I171" s="60" t="n">
        <f aca="false">(ROW()-17)*$B$6</f>
        <v>0.77</v>
      </c>
      <c r="J171" s="43" t="n">
        <f aca="false">IFERROR(SUMPRODUCT(Normalizacao!$AL$5:$AL$17,Pesos_Indicadores!$I$5:$I$17,((Pesos_Indicadores!$B$5:$B$17=$A$11)*I171+(Pesos_Indicadores!$B$5:$B$17&lt;&gt;$A$11)*Pesos_Indicadores!$G$5:$G$17*(1-I171)/(1-$B$11))),0)</f>
        <v>0.822307692307692</v>
      </c>
      <c r="K171" s="60" t="n">
        <f aca="false">IF(J171=0,"",IFERROR(SUMPRODUCT(Normalizacao!$AL$5:$AL$17,Pesos_Indicadores!$I$5:$I$17,((Pesos_Indicadores!$B$5:$B$17=$A$11)*I171+(Pesos_Indicadores!$B$5:$B$17&lt;&gt;$A$11)*Pesos_Indicadores!$G$5:$G$17*(1-I171)/(1-$B$11)),Normalizacao!$AI$5:$AI$17)/J171,""))</f>
        <v>0.818721690217124</v>
      </c>
      <c r="L171" s="60" t="n">
        <f aca="false">IF(J171=0,"",IFERROR(SUMPRODUCT(Normalizacao!$AL$5:$AL$17,Pesos_Indicadores!$I$5:$I$17,((Pesos_Indicadores!$B$5:$B$17=$A$11)*I171+(Pesos_Indicadores!$B$5:$B$17&lt;&gt;$A$11)*Pesos_Indicadores!$G$5:$G$17*(1-I171)/(1-$B$11)),Normalizacao!$AJ$5:$AJ$17)/J171,""))</f>
        <v>0.825892539756782</v>
      </c>
      <c r="M171" s="60" t="n">
        <f aca="false">IF(J171=0,"",IFERROR(SUMPRODUCT(Normalizacao!$AL$5:$AL$17,Pesos_Indicadores!$I$5:$I$17,((Pesos_Indicadores!$B$5:$B$17=$A$11)*I171+(Pesos_Indicadores!$B$5:$B$17&lt;&gt;$A$11)*Pesos_Indicadores!$G$5:$G$17*(1-I171)/(1-$B$11)),Normalizacao!$AK$5:$AK$17)/J171,""))</f>
        <v>0.841515494802521</v>
      </c>
      <c r="N171" s="17" t="str">
        <f aca="false">IF(K171="","",IF(INDEX(K171:M171,$B$5)&gt;=MAX(K171:M171),$B$4,INDEX(Pontuacao!$A$29:$A$31,MATCH(MAX(K171:M171),K171:M171,0))))</f>
        <v>Microsoft Azure</v>
      </c>
      <c r="O171" s="43" t="str">
        <f aca="false">IF(OR(N171="",N171=$B$4,ABS(I171-$B$11)&lt;0.000000001),"",ABS(I171-$B$11))</f>
        <v/>
      </c>
      <c r="Q171" s="60" t="n">
        <f aca="false">(ROW()-17)*$B$6</f>
        <v>0.77</v>
      </c>
      <c r="R171" s="43" t="n">
        <f aca="false">IFERROR(SUMPRODUCT(Normalizacao!$AL$5:$AL$17,Pesos_Indicadores!$I$5:$I$17,((Pesos_Indicadores!$B$5:$B$17=$A$12)*Q171+(Pesos_Indicadores!$B$5:$B$17&lt;&gt;$A$12)*Pesos_Indicadores!$G$5:$G$17*(1-Q171)/(1-$B$12))),0)</f>
        <v>0.973461538461539</v>
      </c>
      <c r="S171" s="60" t="n">
        <f aca="false">IF(R171=0,"",IFERROR(SUMPRODUCT(Normalizacao!$AL$5:$AL$17,Pesos_Indicadores!$I$5:$I$17,((Pesos_Indicadores!$B$5:$B$17=$A$12)*Q171+(Pesos_Indicadores!$B$5:$B$17&lt;&gt;$A$12)*Pesos_Indicadores!$G$5:$G$17*(1-Q171)/(1-$B$12)),Normalizacao!$AI$5:$AI$17)/R171,""))</f>
        <v>0.74511452723076</v>
      </c>
      <c r="T171" s="60" t="n">
        <f aca="false">IF(R171=0,"",IFERROR(SUMPRODUCT(Normalizacao!$AL$5:$AL$17,Pesos_Indicadores!$I$5:$I$17,((Pesos_Indicadores!$B$5:$B$17=$A$12)*Q171+(Pesos_Indicadores!$B$5:$B$17&lt;&gt;$A$12)*Pesos_Indicadores!$G$5:$G$17*(1-Q171)/(1-$B$12)),Normalizacao!$AJ$5:$AJ$17)/R171,""))</f>
        <v>0.77540152113789</v>
      </c>
      <c r="U171" s="60" t="n">
        <f aca="false">IF(R171=0,"",IFERROR(SUMPRODUCT(Normalizacao!$AL$5:$AL$17,Pesos_Indicadores!$I$5:$I$17,((Pesos_Indicadores!$B$5:$B$17=$A$12)*Q171+(Pesos_Indicadores!$B$5:$B$17&lt;&gt;$A$12)*Pesos_Indicadores!$G$5:$G$17*(1-Q171)/(1-$B$12)),Normalizacao!$AK$5:$AK$17)/R171,""))</f>
        <v>0.825435641400964</v>
      </c>
      <c r="V171" s="17" t="str">
        <f aca="false">IF(S171="","",IF(INDEX(S171:U171,$B$5)&gt;=MAX(S171:U171),$B$4,INDEX(Pontuacao!$A$29:$A$31,MATCH(MAX(S171:U171),S171:U171,0))))</f>
        <v>Microsoft Azure</v>
      </c>
      <c r="W171" s="43" t="str">
        <f aca="false">IF(OR(V171="",V171=$B$4,ABS(Q171-$B$12)&lt;0.000000001),"",ABS(Q171-$B$12))</f>
        <v/>
      </c>
    </row>
    <row r="172" customFormat="false" ht="15" hidden="false" customHeight="true" outlineLevel="0" collapsed="false">
      <c r="A172" s="60" t="n">
        <f aca="false">(ROW()-17)*$B$6</f>
        <v>0.775</v>
      </c>
      <c r="B172" s="43" t="n">
        <f aca="false">IFERROR(SUMPRODUCT(Normalizacao!$AL$5:$AL$17,Pesos_Indicadores!$I$5:$I$17,((Pesos_Indicadores!$B$5:$B$17=$A$10)*A172+(Pesos_Indicadores!$B$5:$B$17&lt;&gt;$A$10)*Pesos_Indicadores!$G$5:$G$17*(1-A172)/(1-$B$10))),0)</f>
        <v>0.994807692307692</v>
      </c>
      <c r="C172" s="60" t="n">
        <f aca="false">IF(B172=0,"",IFERROR(SUMPRODUCT(Normalizacao!$AL$5:$AL$17,Pesos_Indicadores!$I$5:$I$17,((Pesos_Indicadores!$B$5:$B$17=$A$10)*A172+(Pesos_Indicadores!$B$5:$B$17&lt;&gt;$A$10)*Pesos_Indicadores!$G$5:$G$17*(1-A172)/(1-$B$10)),Normalizacao!$AI$5:$AI$17)/B172,""))</f>
        <v>0.659595888438517</v>
      </c>
      <c r="D172" s="60" t="n">
        <f aca="false">IF(B172=0,"",IFERROR(SUMPRODUCT(Normalizacao!$AL$5:$AL$17,Pesos_Indicadores!$I$5:$I$17,((Pesos_Indicadores!$B$5:$B$17=$A$10)*A172+(Pesos_Indicadores!$B$5:$B$17&lt;&gt;$A$10)*Pesos_Indicadores!$G$5:$G$17*(1-A172)/(1-$B$10)),Normalizacao!$AJ$5:$AJ$17)/B172,""))</f>
        <v>0.859324229485876</v>
      </c>
      <c r="E172" s="60" t="n">
        <f aca="false">IF(B172=0,"",IFERROR(SUMPRODUCT(Normalizacao!$AL$5:$AL$17,Pesos_Indicadores!$I$5:$I$17,((Pesos_Indicadores!$B$5:$B$17=$A$10)*A172+(Pesos_Indicadores!$B$5:$B$17&lt;&gt;$A$10)*Pesos_Indicadores!$G$5:$G$17*(1-A172)/(1-$B$10)),Normalizacao!$AK$5:$AK$17)/B172,""))</f>
        <v>0.876193877845159</v>
      </c>
      <c r="F172" s="17" t="str">
        <f aca="false">IF(C172="","",IF(INDEX(C172:E172,$B$5)&gt;=MAX(C172:E172),$B$4,INDEX(Pontuacao!$A$29:$A$31,MATCH(MAX(C172:E172),C172:E172,0))))</f>
        <v>Microsoft Azure</v>
      </c>
      <c r="G172" s="43" t="str">
        <f aca="false">IF(OR(F172="",F172=$B$4,ABS(A172-$B$10)&lt;0.000000001),"",ABS(A172-$B$10))</f>
        <v/>
      </c>
      <c r="I172" s="60" t="n">
        <f aca="false">(ROW()-17)*$B$6</f>
        <v>0.775</v>
      </c>
      <c r="J172" s="43" t="n">
        <f aca="false">IFERROR(SUMPRODUCT(Normalizacao!$AL$5:$AL$17,Pesos_Indicadores!$I$5:$I$17,((Pesos_Indicadores!$B$5:$B$17=$A$11)*I172+(Pesos_Indicadores!$B$5:$B$17&lt;&gt;$A$11)*Pesos_Indicadores!$G$5:$G$17*(1-I172)/(1-$B$11))),0)</f>
        <v>0.821153846153846</v>
      </c>
      <c r="K172" s="60" t="n">
        <f aca="false">IF(J172=0,"",IFERROR(SUMPRODUCT(Normalizacao!$AL$5:$AL$17,Pesos_Indicadores!$I$5:$I$17,((Pesos_Indicadores!$B$5:$B$17=$A$11)*I172+(Pesos_Indicadores!$B$5:$B$17&lt;&gt;$A$11)*Pesos_Indicadores!$G$5:$G$17*(1-I172)/(1-$B$11)),Normalizacao!$AI$5:$AI$17)/J172,""))</f>
        <v>0.819358658138575</v>
      </c>
      <c r="L172" s="60" t="n">
        <f aca="false">IF(J172=0,"",IFERROR(SUMPRODUCT(Normalizacao!$AL$5:$AL$17,Pesos_Indicadores!$I$5:$I$17,((Pesos_Indicadores!$B$5:$B$17=$A$11)*I172+(Pesos_Indicadores!$B$5:$B$17&lt;&gt;$A$11)*Pesos_Indicadores!$G$5:$G$17*(1-I172)/(1-$B$11)),Normalizacao!$AJ$5:$AJ$17)/J172,""))</f>
        <v>0.82638347673353</v>
      </c>
      <c r="M172" s="60" t="n">
        <f aca="false">IF(J172=0,"",IFERROR(SUMPRODUCT(Normalizacao!$AL$5:$AL$17,Pesos_Indicadores!$I$5:$I$17,((Pesos_Indicadores!$B$5:$B$17=$A$11)*I172+(Pesos_Indicadores!$B$5:$B$17&lt;&gt;$A$11)*Pesos_Indicadores!$G$5:$G$17*(1-I172)/(1-$B$11)),Normalizacao!$AK$5:$AK$17)/J172,""))</f>
        <v>0.84168094575851</v>
      </c>
      <c r="N172" s="17" t="str">
        <f aca="false">IF(K172="","",IF(INDEX(K172:M172,$B$5)&gt;=MAX(K172:M172),$B$4,INDEX(Pontuacao!$A$29:$A$31,MATCH(MAX(K172:M172),K172:M172,0))))</f>
        <v>Microsoft Azure</v>
      </c>
      <c r="O172" s="43" t="str">
        <f aca="false">IF(OR(N172="",N172=$B$4,ABS(I172-$B$11)&lt;0.000000001),"",ABS(I172-$B$11))</f>
        <v/>
      </c>
      <c r="Q172" s="60" t="n">
        <f aca="false">(ROW()-17)*$B$6</f>
        <v>0.775</v>
      </c>
      <c r="R172" s="43" t="n">
        <f aca="false">IFERROR(SUMPRODUCT(Normalizacao!$AL$5:$AL$17,Pesos_Indicadores!$I$5:$I$17,((Pesos_Indicadores!$B$5:$B$17=$A$12)*Q172+(Pesos_Indicadores!$B$5:$B$17&lt;&gt;$A$12)*Pesos_Indicadores!$G$5:$G$17*(1-Q172)/(1-$B$12))),0)</f>
        <v>0.974038461538462</v>
      </c>
      <c r="S172" s="60" t="n">
        <f aca="false">IF(R172=0,"",IFERROR(SUMPRODUCT(Normalizacao!$AL$5:$AL$17,Pesos_Indicadores!$I$5:$I$17,((Pesos_Indicadores!$B$5:$B$17=$A$12)*Q172+(Pesos_Indicadores!$B$5:$B$17&lt;&gt;$A$12)*Pesos_Indicadores!$G$5:$G$17*(1-Q172)/(1-$B$12)),Normalizacao!$AI$5:$AI$17)/R172,""))</f>
        <v>0.745223563920747</v>
      </c>
      <c r="T172" s="60" t="n">
        <f aca="false">IF(R172=0,"",IFERROR(SUMPRODUCT(Normalizacao!$AL$5:$AL$17,Pesos_Indicadores!$I$5:$I$17,((Pesos_Indicadores!$B$5:$B$17=$A$12)*Q172+(Pesos_Indicadores!$B$5:$B$17&lt;&gt;$A$12)*Pesos_Indicadores!$G$5:$G$17*(1-Q172)/(1-$B$12)),Normalizacao!$AJ$5:$AJ$17)/R172,""))</f>
        <v>0.774834595905404</v>
      </c>
      <c r="U172" s="60" t="n">
        <f aca="false">IF(R172=0,"",IFERROR(SUMPRODUCT(Normalizacao!$AL$5:$AL$17,Pesos_Indicadores!$I$5:$I$17,((Pesos_Indicadores!$B$5:$B$17=$A$12)*Q172+(Pesos_Indicadores!$B$5:$B$17&lt;&gt;$A$12)*Pesos_Indicadores!$G$5:$G$17*(1-Q172)/(1-$B$12)),Normalizacao!$AK$5:$AK$17)/R172,""))</f>
        <v>0.825146936584083</v>
      </c>
      <c r="V172" s="17" t="str">
        <f aca="false">IF(S172="","",IF(INDEX(S172:U172,$B$5)&gt;=MAX(S172:U172),$B$4,INDEX(Pontuacao!$A$29:$A$31,MATCH(MAX(S172:U172),S172:U172,0))))</f>
        <v>Microsoft Azure</v>
      </c>
      <c r="W172" s="43" t="str">
        <f aca="false">IF(OR(V172="",V172=$B$4,ABS(Q172-$B$12)&lt;0.000000001),"",ABS(Q172-$B$12))</f>
        <v/>
      </c>
    </row>
    <row r="173" customFormat="false" ht="15" hidden="false" customHeight="true" outlineLevel="0" collapsed="false">
      <c r="A173" s="60" t="n">
        <f aca="false">(ROW()-17)*$B$6</f>
        <v>0.78</v>
      </c>
      <c r="B173" s="43" t="n">
        <f aca="false">IFERROR(SUMPRODUCT(Normalizacao!$AL$5:$AL$17,Pesos_Indicadores!$I$5:$I$17,((Pesos_Indicadores!$B$5:$B$17=$A$10)*A173+(Pesos_Indicadores!$B$5:$B$17&lt;&gt;$A$10)*Pesos_Indicadores!$G$5:$G$17*(1-A173)/(1-$B$10))),0)</f>
        <v>0.994923076923077</v>
      </c>
      <c r="C173" s="60" t="n">
        <f aca="false">IF(B173=0,"",IFERROR(SUMPRODUCT(Normalizacao!$AL$5:$AL$17,Pesos_Indicadores!$I$5:$I$17,((Pesos_Indicadores!$B$5:$B$17=$A$10)*A173+(Pesos_Indicadores!$B$5:$B$17&lt;&gt;$A$10)*Pesos_Indicadores!$G$5:$G$17*(1-A173)/(1-$B$10)),Normalizacao!$AI$5:$AI$17)/B173,""))</f>
        <v>0.658973307186388</v>
      </c>
      <c r="D173" s="60" t="n">
        <f aca="false">IF(B173=0,"",IFERROR(SUMPRODUCT(Normalizacao!$AL$5:$AL$17,Pesos_Indicadores!$I$5:$I$17,((Pesos_Indicadores!$B$5:$B$17=$A$10)*A173+(Pesos_Indicadores!$B$5:$B$17&lt;&gt;$A$10)*Pesos_Indicadores!$G$5:$G$17*(1-A173)/(1-$B$10)),Normalizacao!$AJ$5:$AJ$17)/B173,""))</f>
        <v>0.859966905560673</v>
      </c>
      <c r="E173" s="60" t="n">
        <f aca="false">IF(B173=0,"",IFERROR(SUMPRODUCT(Normalizacao!$AL$5:$AL$17,Pesos_Indicadores!$I$5:$I$17,((Pesos_Indicadores!$B$5:$B$17=$A$10)*A173+(Pesos_Indicadores!$B$5:$B$17&lt;&gt;$A$10)*Pesos_Indicadores!$G$5:$G$17*(1-A173)/(1-$B$10)),Normalizacao!$AK$5:$AK$17)/B173,""))</f>
        <v>0.876578845838813</v>
      </c>
      <c r="F173" s="17" t="str">
        <f aca="false">IF(C173="","",IF(INDEX(C173:E173,$B$5)&gt;=MAX(C173:E173),$B$4,INDEX(Pontuacao!$A$29:$A$31,MATCH(MAX(C173:E173),C173:E173,0))))</f>
        <v>Microsoft Azure</v>
      </c>
      <c r="G173" s="43" t="str">
        <f aca="false">IF(OR(F173="",F173=$B$4,ABS(A173-$B$10)&lt;0.000000001),"",ABS(A173-$B$10))</f>
        <v/>
      </c>
      <c r="I173" s="60" t="n">
        <f aca="false">(ROW()-17)*$B$6</f>
        <v>0.78</v>
      </c>
      <c r="J173" s="43" t="n">
        <f aca="false">IFERROR(SUMPRODUCT(Normalizacao!$AL$5:$AL$17,Pesos_Indicadores!$I$5:$I$17,((Pesos_Indicadores!$B$5:$B$17=$A$11)*I173+(Pesos_Indicadores!$B$5:$B$17&lt;&gt;$A$11)*Pesos_Indicadores!$G$5:$G$17*(1-I173)/(1-$B$11))),0)</f>
        <v>0.82</v>
      </c>
      <c r="K173" s="60" t="n">
        <f aca="false">IF(J173=0,"",IFERROR(SUMPRODUCT(Normalizacao!$AL$5:$AL$17,Pesos_Indicadores!$I$5:$I$17,((Pesos_Indicadores!$B$5:$B$17=$A$11)*I173+(Pesos_Indicadores!$B$5:$B$17&lt;&gt;$A$11)*Pesos_Indicadores!$G$5:$G$17*(1-I173)/(1-$B$11)),Normalizacao!$AI$5:$AI$17)/J173,""))</f>
        <v>0.819997418652676</v>
      </c>
      <c r="L173" s="60" t="n">
        <f aca="false">IF(J173=0,"",IFERROR(SUMPRODUCT(Normalizacao!$AL$5:$AL$17,Pesos_Indicadores!$I$5:$I$17,((Pesos_Indicadores!$B$5:$B$17=$A$11)*I173+(Pesos_Indicadores!$B$5:$B$17&lt;&gt;$A$11)*Pesos_Indicadores!$G$5:$G$17*(1-I173)/(1-$B$11)),Normalizacao!$AJ$5:$AJ$17)/J173,""))</f>
        <v>0.82687579533404</v>
      </c>
      <c r="M173" s="60" t="n">
        <f aca="false">IF(J173=0,"",IFERROR(SUMPRODUCT(Normalizacao!$AL$5:$AL$17,Pesos_Indicadores!$I$5:$I$17,((Pesos_Indicadores!$B$5:$B$17=$A$11)*I173+(Pesos_Indicadores!$B$5:$B$17&lt;&gt;$A$11)*Pesos_Indicadores!$G$5:$G$17*(1-I173)/(1-$B$11)),Normalizacao!$AK$5:$AK$17)/J173,""))</f>
        <v>0.841846862336328</v>
      </c>
      <c r="N173" s="17" t="str">
        <f aca="false">IF(K173="","",IF(INDEX(K173:M173,$B$5)&gt;=MAX(K173:M173),$B$4,INDEX(Pontuacao!$A$29:$A$31,MATCH(MAX(K173:M173),K173:M173,0))))</f>
        <v>Microsoft Azure</v>
      </c>
      <c r="O173" s="43" t="str">
        <f aca="false">IF(OR(N173="",N173=$B$4,ABS(I173-$B$11)&lt;0.000000001),"",ABS(I173-$B$11))</f>
        <v/>
      </c>
      <c r="Q173" s="60" t="n">
        <f aca="false">(ROW()-17)*$B$6</f>
        <v>0.78</v>
      </c>
      <c r="R173" s="43" t="n">
        <f aca="false">IFERROR(SUMPRODUCT(Normalizacao!$AL$5:$AL$17,Pesos_Indicadores!$I$5:$I$17,((Pesos_Indicadores!$B$5:$B$17=$A$12)*Q173+(Pesos_Indicadores!$B$5:$B$17&lt;&gt;$A$12)*Pesos_Indicadores!$G$5:$G$17*(1-Q173)/(1-$B$12))),0)</f>
        <v>0.974615384615385</v>
      </c>
      <c r="S173" s="60" t="n">
        <f aca="false">IF(R173=0,"",IFERROR(SUMPRODUCT(Normalizacao!$AL$5:$AL$17,Pesos_Indicadores!$I$5:$I$17,((Pesos_Indicadores!$B$5:$B$17=$A$12)*Q173+(Pesos_Indicadores!$B$5:$B$17&lt;&gt;$A$12)*Pesos_Indicadores!$G$5:$G$17*(1-Q173)/(1-$B$12)),Normalizacao!$AI$5:$AI$17)/R173,""))</f>
        <v>0.745332471522308</v>
      </c>
      <c r="T173" s="60" t="n">
        <f aca="false">IF(R173=0,"",IFERROR(SUMPRODUCT(Normalizacao!$AL$5:$AL$17,Pesos_Indicadores!$I$5:$I$17,((Pesos_Indicadores!$B$5:$B$17=$A$12)*Q173+(Pesos_Indicadores!$B$5:$B$17&lt;&gt;$A$12)*Pesos_Indicadores!$G$5:$G$17*(1-Q173)/(1-$B$12)),Normalizacao!$AJ$5:$AJ$17)/R173,""))</f>
        <v>0.774268341855118</v>
      </c>
      <c r="U173" s="60" t="n">
        <f aca="false">IF(R173=0,"",IFERROR(SUMPRODUCT(Normalizacao!$AL$5:$AL$17,Pesos_Indicadores!$I$5:$I$17,((Pesos_Indicadores!$B$5:$B$17=$A$12)*Q173+(Pesos_Indicadores!$B$5:$B$17&lt;&gt;$A$12)*Pesos_Indicadores!$G$5:$G$17*(1-Q173)/(1-$B$12)),Normalizacao!$AK$5:$AK$17)/R173,""))</f>
        <v>0.824858573564539</v>
      </c>
      <c r="V173" s="17" t="str">
        <f aca="false">IF(S173="","",IF(INDEX(S173:U173,$B$5)&gt;=MAX(S173:U173),$B$4,INDEX(Pontuacao!$A$29:$A$31,MATCH(MAX(S173:U173),S173:U173,0))))</f>
        <v>Microsoft Azure</v>
      </c>
      <c r="W173" s="43" t="str">
        <f aca="false">IF(OR(V173="",V173=$B$4,ABS(Q173-$B$12)&lt;0.000000001),"",ABS(Q173-$B$12))</f>
        <v/>
      </c>
    </row>
    <row r="174" customFormat="false" ht="15" hidden="false" customHeight="true" outlineLevel="0" collapsed="false">
      <c r="A174" s="60" t="n">
        <f aca="false">(ROW()-17)*$B$6</f>
        <v>0.785</v>
      </c>
      <c r="B174" s="43" t="n">
        <f aca="false">IFERROR(SUMPRODUCT(Normalizacao!$AL$5:$AL$17,Pesos_Indicadores!$I$5:$I$17,((Pesos_Indicadores!$B$5:$B$17=$A$10)*A174+(Pesos_Indicadores!$B$5:$B$17&lt;&gt;$A$10)*Pesos_Indicadores!$G$5:$G$17*(1-A174)/(1-$B$10))),0)</f>
        <v>0.995038461538462</v>
      </c>
      <c r="C174" s="60" t="n">
        <f aca="false">IF(B174=0,"",IFERROR(SUMPRODUCT(Normalizacao!$AL$5:$AL$17,Pesos_Indicadores!$I$5:$I$17,((Pesos_Indicadores!$B$5:$B$17=$A$10)*A174+(Pesos_Indicadores!$B$5:$B$17&lt;&gt;$A$10)*Pesos_Indicadores!$G$5:$G$17*(1-A174)/(1-$B$10)),Normalizacao!$AI$5:$AI$17)/B174,""))</f>
        <v>0.658350870323247</v>
      </c>
      <c r="D174" s="60" t="n">
        <f aca="false">IF(B174=0,"",IFERROR(SUMPRODUCT(Normalizacao!$AL$5:$AL$17,Pesos_Indicadores!$I$5:$I$17,((Pesos_Indicadores!$B$5:$B$17=$A$10)*A174+(Pesos_Indicadores!$B$5:$B$17&lt;&gt;$A$10)*Pesos_Indicadores!$G$5:$G$17*(1-A174)/(1-$B$10)),Normalizacao!$AJ$5:$AJ$17)/B174,""))</f>
        <v>0.860609432586092</v>
      </c>
      <c r="E174" s="60" t="n">
        <f aca="false">IF(B174=0,"",IFERROR(SUMPRODUCT(Normalizacao!$AL$5:$AL$17,Pesos_Indicadores!$I$5:$I$17,((Pesos_Indicadores!$B$5:$B$17=$A$10)*A174+(Pesos_Indicadores!$B$5:$B$17&lt;&gt;$A$10)*Pesos_Indicadores!$G$5:$G$17*(1-A174)/(1-$B$10)),Normalizacao!$AK$5:$AK$17)/B174,""))</f>
        <v>0.876963724550724</v>
      </c>
      <c r="F174" s="17" t="str">
        <f aca="false">IF(C174="","",IF(INDEX(C174:E174,$B$5)&gt;=MAX(C174:E174),$B$4,INDEX(Pontuacao!$A$29:$A$31,MATCH(MAX(C174:E174),C174:E174,0))))</f>
        <v>Microsoft Azure</v>
      </c>
      <c r="G174" s="43" t="str">
        <f aca="false">IF(OR(F174="",F174=$B$4,ABS(A174-$B$10)&lt;0.000000001),"",ABS(A174-$B$10))</f>
        <v/>
      </c>
      <c r="I174" s="60" t="n">
        <f aca="false">(ROW()-17)*$B$6</f>
        <v>0.785</v>
      </c>
      <c r="J174" s="43" t="n">
        <f aca="false">IFERROR(SUMPRODUCT(Normalizacao!$AL$5:$AL$17,Pesos_Indicadores!$I$5:$I$17,((Pesos_Indicadores!$B$5:$B$17=$A$11)*I174+(Pesos_Indicadores!$B$5:$B$17&lt;&gt;$A$11)*Pesos_Indicadores!$G$5:$G$17*(1-I174)/(1-$B$11))),0)</f>
        <v>0.818846153846154</v>
      </c>
      <c r="K174" s="60" t="n">
        <f aca="false">IF(J174=0,"",IFERROR(SUMPRODUCT(Normalizacao!$AL$5:$AL$17,Pesos_Indicadores!$I$5:$I$17,((Pesos_Indicadores!$B$5:$B$17=$A$11)*I174+(Pesos_Indicadores!$B$5:$B$17&lt;&gt;$A$11)*Pesos_Indicadores!$G$5:$G$17*(1-I174)/(1-$B$11)),Normalizacao!$AI$5:$AI$17)/J174,""))</f>
        <v>0.82063797933732</v>
      </c>
      <c r="L174" s="60" t="n">
        <f aca="false">IF(J174=0,"",IFERROR(SUMPRODUCT(Normalizacao!$AL$5:$AL$17,Pesos_Indicadores!$I$5:$I$17,((Pesos_Indicadores!$B$5:$B$17=$A$11)*I174+(Pesos_Indicadores!$B$5:$B$17&lt;&gt;$A$11)*Pesos_Indicadores!$G$5:$G$17*(1-I174)/(1-$B$11)),Normalizacao!$AJ$5:$AJ$17)/J174,""))</f>
        <v>0.827369501398901</v>
      </c>
      <c r="M174" s="60" t="n">
        <f aca="false">IF(J174=0,"",IFERROR(SUMPRODUCT(Normalizacao!$AL$5:$AL$17,Pesos_Indicadores!$I$5:$I$17,((Pesos_Indicadores!$B$5:$B$17=$A$11)*I174+(Pesos_Indicadores!$B$5:$B$17&lt;&gt;$A$11)*Pesos_Indicadores!$G$5:$G$17*(1-I174)/(1-$B$11)),Normalizacao!$AK$5:$AK$17)/J174,""))</f>
        <v>0.842013246504312</v>
      </c>
      <c r="N174" s="17" t="str">
        <f aca="false">IF(K174="","",IF(INDEX(K174:M174,$B$5)&gt;=MAX(K174:M174),$B$4,INDEX(Pontuacao!$A$29:$A$31,MATCH(MAX(K174:M174),K174:M174,0))))</f>
        <v>Microsoft Azure</v>
      </c>
      <c r="O174" s="43" t="str">
        <f aca="false">IF(OR(N174="",N174=$B$4,ABS(I174-$B$11)&lt;0.000000001),"",ABS(I174-$B$11))</f>
        <v/>
      </c>
      <c r="Q174" s="60" t="n">
        <f aca="false">(ROW()-17)*$B$6</f>
        <v>0.785</v>
      </c>
      <c r="R174" s="43" t="n">
        <f aca="false">IFERROR(SUMPRODUCT(Normalizacao!$AL$5:$AL$17,Pesos_Indicadores!$I$5:$I$17,((Pesos_Indicadores!$B$5:$B$17=$A$12)*Q174+(Pesos_Indicadores!$B$5:$B$17&lt;&gt;$A$12)*Pesos_Indicadores!$G$5:$G$17*(1-Q174)/(1-$B$12))),0)</f>
        <v>0.975192307692308</v>
      </c>
      <c r="S174" s="60" t="n">
        <f aca="false">IF(R174=0,"",IFERROR(SUMPRODUCT(Normalizacao!$AL$5:$AL$17,Pesos_Indicadores!$I$5:$I$17,((Pesos_Indicadores!$B$5:$B$17=$A$12)*Q174+(Pesos_Indicadores!$B$5:$B$17&lt;&gt;$A$12)*Pesos_Indicadores!$G$5:$G$17*(1-Q174)/(1-$B$12)),Normalizacao!$AI$5:$AI$17)/R174,""))</f>
        <v>0.74544125026455</v>
      </c>
      <c r="T174" s="60" t="n">
        <f aca="false">IF(R174=0,"",IFERROR(SUMPRODUCT(Normalizacao!$AL$5:$AL$17,Pesos_Indicadores!$I$5:$I$17,((Pesos_Indicadores!$B$5:$B$17=$A$12)*Q174+(Pesos_Indicadores!$B$5:$B$17&lt;&gt;$A$12)*Pesos_Indicadores!$G$5:$G$17*(1-Q174)/(1-$B$12)),Normalizacao!$AJ$5:$AJ$17)/R174,""))</f>
        <v>0.773702757795821</v>
      </c>
      <c r="U174" s="60" t="n">
        <f aca="false">IF(R174=0,"",IFERROR(SUMPRODUCT(Normalizacao!$AL$5:$AL$17,Pesos_Indicadores!$I$5:$I$17,((Pesos_Indicadores!$B$5:$B$17=$A$12)*Q174+(Pesos_Indicadores!$B$5:$B$17&lt;&gt;$A$12)*Pesos_Indicadores!$G$5:$G$17*(1-Q174)/(1-$B$12)),Normalizacao!$AK$5:$AK$17)/R174,""))</f>
        <v>0.82457055173571</v>
      </c>
      <c r="V174" s="17" t="str">
        <f aca="false">IF(S174="","",IF(INDEX(S174:U174,$B$5)&gt;=MAX(S174:U174),$B$4,INDEX(Pontuacao!$A$29:$A$31,MATCH(MAX(S174:U174),S174:U174,0))))</f>
        <v>Microsoft Azure</v>
      </c>
      <c r="W174" s="43" t="str">
        <f aca="false">IF(OR(V174="",V174=$B$4,ABS(Q174-$B$12)&lt;0.000000001),"",ABS(Q174-$B$12))</f>
        <v/>
      </c>
    </row>
    <row r="175" customFormat="false" ht="15" hidden="false" customHeight="true" outlineLevel="0" collapsed="false">
      <c r="A175" s="60" t="n">
        <f aca="false">(ROW()-17)*$B$6</f>
        <v>0.79</v>
      </c>
      <c r="B175" s="43" t="n">
        <f aca="false">IFERROR(SUMPRODUCT(Normalizacao!$AL$5:$AL$17,Pesos_Indicadores!$I$5:$I$17,((Pesos_Indicadores!$B$5:$B$17=$A$10)*A175+(Pesos_Indicadores!$B$5:$B$17&lt;&gt;$A$10)*Pesos_Indicadores!$G$5:$G$17*(1-A175)/(1-$B$10))),0)</f>
        <v>0.995153846153846</v>
      </c>
      <c r="C175" s="60" t="n">
        <f aca="false">IF(B175=0,"",IFERROR(SUMPRODUCT(Normalizacao!$AL$5:$AL$17,Pesos_Indicadores!$I$5:$I$17,((Pesos_Indicadores!$B$5:$B$17=$A$10)*A175+(Pesos_Indicadores!$B$5:$B$17&lt;&gt;$A$10)*Pesos_Indicadores!$G$5:$G$17*(1-A175)/(1-$B$10)),Normalizacao!$AI$5:$AI$17)/B175,""))</f>
        <v>0.65772857779887</v>
      </c>
      <c r="D175" s="60" t="n">
        <f aca="false">IF(B175=0,"",IFERROR(SUMPRODUCT(Normalizacao!$AL$5:$AL$17,Pesos_Indicadores!$I$5:$I$17,((Pesos_Indicadores!$B$5:$B$17=$A$10)*A175+(Pesos_Indicadores!$B$5:$B$17&lt;&gt;$A$10)*Pesos_Indicadores!$G$5:$G$17*(1-A175)/(1-$B$10)),Normalizacao!$AJ$5:$AJ$17)/B175,""))</f>
        <v>0.861251810613979</v>
      </c>
      <c r="E175" s="60" t="n">
        <f aca="false">IF(B175=0,"",IFERROR(SUMPRODUCT(Normalizacao!$AL$5:$AL$17,Pesos_Indicadores!$I$5:$I$17,((Pesos_Indicadores!$B$5:$B$17=$A$10)*A175+(Pesos_Indicadores!$B$5:$B$17&lt;&gt;$A$10)*Pesos_Indicadores!$G$5:$G$17*(1-A175)/(1-$B$10)),Normalizacao!$AK$5:$AK$17)/B175,""))</f>
        <v>0.877348514011949</v>
      </c>
      <c r="F175" s="17" t="str">
        <f aca="false">IF(C175="","",IF(INDEX(C175:E175,$B$5)&gt;=MAX(C175:E175),$B$4,INDEX(Pontuacao!$A$29:$A$31,MATCH(MAX(C175:E175),C175:E175,0))))</f>
        <v>Microsoft Azure</v>
      </c>
      <c r="G175" s="43" t="str">
        <f aca="false">IF(OR(F175="",F175=$B$4,ABS(A175-$B$10)&lt;0.000000001),"",ABS(A175-$B$10))</f>
        <v/>
      </c>
      <c r="I175" s="60" t="n">
        <f aca="false">(ROW()-17)*$B$6</f>
        <v>0.79</v>
      </c>
      <c r="J175" s="43" t="n">
        <f aca="false">IFERROR(SUMPRODUCT(Normalizacao!$AL$5:$AL$17,Pesos_Indicadores!$I$5:$I$17,((Pesos_Indicadores!$B$5:$B$17=$A$11)*I175+(Pesos_Indicadores!$B$5:$B$17&lt;&gt;$A$11)*Pesos_Indicadores!$G$5:$G$17*(1-I175)/(1-$B$11))),0)</f>
        <v>0.817692307692308</v>
      </c>
      <c r="K175" s="60" t="n">
        <f aca="false">IF(J175=0,"",IFERROR(SUMPRODUCT(Normalizacao!$AL$5:$AL$17,Pesos_Indicadores!$I$5:$I$17,((Pesos_Indicadores!$B$5:$B$17=$A$11)*I175+(Pesos_Indicadores!$B$5:$B$17&lt;&gt;$A$11)*Pesos_Indicadores!$G$5:$G$17*(1-I175)/(1-$B$11)),Normalizacao!$AI$5:$AI$17)/J175,""))</f>
        <v>0.821280347813171</v>
      </c>
      <c r="L175" s="60" t="n">
        <f aca="false">IF(J175=0,"",IFERROR(SUMPRODUCT(Normalizacao!$AL$5:$AL$17,Pesos_Indicadores!$I$5:$I$17,((Pesos_Indicadores!$B$5:$B$17=$A$11)*I175+(Pesos_Indicadores!$B$5:$B$17&lt;&gt;$A$11)*Pesos_Indicadores!$G$5:$G$17*(1-I175)/(1-$B$11)),Normalizacao!$AJ$5:$AJ$17)/J175,""))</f>
        <v>0.827864600801669</v>
      </c>
      <c r="M175" s="60" t="n">
        <f aca="false">IF(J175=0,"",IFERROR(SUMPRODUCT(Normalizacao!$AL$5:$AL$17,Pesos_Indicadores!$I$5:$I$17,((Pesos_Indicadores!$B$5:$B$17=$A$11)*I175+(Pesos_Indicadores!$B$5:$B$17&lt;&gt;$A$11)*Pesos_Indicadores!$G$5:$G$17*(1-I175)/(1-$B$11)),Normalizacao!$AK$5:$AK$17)/J175,""))</f>
        <v>0.842180100241915</v>
      </c>
      <c r="N175" s="17" t="str">
        <f aca="false">IF(K175="","",IF(INDEX(K175:M175,$B$5)&gt;=MAX(K175:M175),$B$4,INDEX(Pontuacao!$A$29:$A$31,MATCH(MAX(K175:M175),K175:M175,0))))</f>
        <v>Microsoft Azure</v>
      </c>
      <c r="O175" s="43" t="str">
        <f aca="false">IF(OR(N175="",N175=$B$4,ABS(I175-$B$11)&lt;0.000000001),"",ABS(I175-$B$11))</f>
        <v/>
      </c>
      <c r="Q175" s="60" t="n">
        <f aca="false">(ROW()-17)*$B$6</f>
        <v>0.79</v>
      </c>
      <c r="R175" s="43" t="n">
        <f aca="false">IFERROR(SUMPRODUCT(Normalizacao!$AL$5:$AL$17,Pesos_Indicadores!$I$5:$I$17,((Pesos_Indicadores!$B$5:$B$17=$A$12)*Q175+(Pesos_Indicadores!$B$5:$B$17&lt;&gt;$A$12)*Pesos_Indicadores!$G$5:$G$17*(1-Q175)/(1-$B$12))),0)</f>
        <v>0.975769230769231</v>
      </c>
      <c r="S175" s="60" t="n">
        <f aca="false">IF(R175=0,"",IFERROR(SUMPRODUCT(Normalizacao!$AL$5:$AL$17,Pesos_Indicadores!$I$5:$I$17,((Pesos_Indicadores!$B$5:$B$17=$A$12)*Q175+(Pesos_Indicadores!$B$5:$B$17&lt;&gt;$A$12)*Pesos_Indicadores!$G$5:$G$17*(1-Q175)/(1-$B$12)),Normalizacao!$AI$5:$AI$17)/R175,""))</f>
        <v>0.745549900376036</v>
      </c>
      <c r="T175" s="60" t="n">
        <f aca="false">IF(R175=0,"",IFERROR(SUMPRODUCT(Normalizacao!$AL$5:$AL$17,Pesos_Indicadores!$I$5:$I$17,((Pesos_Indicadores!$B$5:$B$17=$A$12)*Q175+(Pesos_Indicadores!$B$5:$B$17&lt;&gt;$A$12)*Pesos_Indicadores!$G$5:$G$17*(1-Q175)/(1-$B$12)),Normalizacao!$AJ$5:$AJ$17)/R175,""))</f>
        <v>0.773137842539117</v>
      </c>
      <c r="U175" s="60" t="n">
        <f aca="false">IF(R175=0,"",IFERROR(SUMPRODUCT(Normalizacao!$AL$5:$AL$17,Pesos_Indicadores!$I$5:$I$17,((Pesos_Indicadores!$B$5:$B$17=$A$12)*Q175+(Pesos_Indicadores!$B$5:$B$17&lt;&gt;$A$12)*Pesos_Indicadores!$G$5:$G$17*(1-Q175)/(1-$B$12)),Normalizacao!$AK$5:$AK$17)/R175,""))</f>
        <v>0.82428287049241</v>
      </c>
      <c r="V175" s="17" t="str">
        <f aca="false">IF(S175="","",IF(INDEX(S175:U175,$B$5)&gt;=MAX(S175:U175),$B$4,INDEX(Pontuacao!$A$29:$A$31,MATCH(MAX(S175:U175),S175:U175,0))))</f>
        <v>Microsoft Azure</v>
      </c>
      <c r="W175" s="43" t="str">
        <f aca="false">IF(OR(V175="",V175=$B$4,ABS(Q175-$B$12)&lt;0.000000001),"",ABS(Q175-$B$12))</f>
        <v/>
      </c>
    </row>
    <row r="176" customFormat="false" ht="15" hidden="false" customHeight="true" outlineLevel="0" collapsed="false">
      <c r="A176" s="60" t="n">
        <f aca="false">(ROW()-17)*$B$6</f>
        <v>0.795</v>
      </c>
      <c r="B176" s="43" t="n">
        <f aca="false">IFERROR(SUMPRODUCT(Normalizacao!$AL$5:$AL$17,Pesos_Indicadores!$I$5:$I$17,((Pesos_Indicadores!$B$5:$B$17=$A$10)*A176+(Pesos_Indicadores!$B$5:$B$17&lt;&gt;$A$10)*Pesos_Indicadores!$G$5:$G$17*(1-A176)/(1-$B$10))),0)</f>
        <v>0.995269230769231</v>
      </c>
      <c r="C176" s="60" t="n">
        <f aca="false">IF(B176=0,"",IFERROR(SUMPRODUCT(Normalizacao!$AL$5:$AL$17,Pesos_Indicadores!$I$5:$I$17,((Pesos_Indicadores!$B$5:$B$17=$A$10)*A176+(Pesos_Indicadores!$B$5:$B$17&lt;&gt;$A$10)*Pesos_Indicadores!$G$5:$G$17*(1-A176)/(1-$B$10)),Normalizacao!$AI$5:$AI$17)/B176,""))</f>
        <v>0.657106429563056</v>
      </c>
      <c r="D176" s="60" t="n">
        <f aca="false">IF(B176=0,"",IFERROR(SUMPRODUCT(Normalizacao!$AL$5:$AL$17,Pesos_Indicadores!$I$5:$I$17,((Pesos_Indicadores!$B$5:$B$17=$A$10)*A176+(Pesos_Indicadores!$B$5:$B$17&lt;&gt;$A$10)*Pesos_Indicadores!$G$5:$G$17*(1-A176)/(1-$B$10)),Normalizacao!$AJ$5:$AJ$17)/B176,""))</f>
        <v>0.861894039696155</v>
      </c>
      <c r="E176" s="60" t="n">
        <f aca="false">IF(B176=0,"",IFERROR(SUMPRODUCT(Normalizacao!$AL$5:$AL$17,Pesos_Indicadores!$I$5:$I$17,((Pesos_Indicadores!$B$5:$B$17=$A$10)*A176+(Pesos_Indicadores!$B$5:$B$17&lt;&gt;$A$10)*Pesos_Indicadores!$G$5:$G$17*(1-A176)/(1-$B$10)),Normalizacao!$AK$5:$AK$17)/B176,""))</f>
        <v>0.877733214253527</v>
      </c>
      <c r="F176" s="17" t="str">
        <f aca="false">IF(C176="","",IF(INDEX(C176:E176,$B$5)&gt;=MAX(C176:E176),$B$4,INDEX(Pontuacao!$A$29:$A$31,MATCH(MAX(C176:E176),C176:E176,0))))</f>
        <v>Microsoft Azure</v>
      </c>
      <c r="G176" s="43" t="str">
        <f aca="false">IF(OR(F176="",F176=$B$4,ABS(A176-$B$10)&lt;0.000000001),"",ABS(A176-$B$10))</f>
        <v/>
      </c>
      <c r="I176" s="60" t="n">
        <f aca="false">(ROW()-17)*$B$6</f>
        <v>0.795</v>
      </c>
      <c r="J176" s="43" t="n">
        <f aca="false">IFERROR(SUMPRODUCT(Normalizacao!$AL$5:$AL$17,Pesos_Indicadores!$I$5:$I$17,((Pesos_Indicadores!$B$5:$B$17=$A$11)*I176+(Pesos_Indicadores!$B$5:$B$17&lt;&gt;$A$11)*Pesos_Indicadores!$G$5:$G$17*(1-I176)/(1-$B$11))),0)</f>
        <v>0.816538461538462</v>
      </c>
      <c r="K176" s="60" t="n">
        <f aca="false">IF(J176=0,"",IFERROR(SUMPRODUCT(Normalizacao!$AL$5:$AL$17,Pesos_Indicadores!$I$5:$I$17,((Pesos_Indicadores!$B$5:$B$17=$A$11)*I176+(Pesos_Indicadores!$B$5:$B$17&lt;&gt;$A$11)*Pesos_Indicadores!$G$5:$G$17*(1-I176)/(1-$B$11)),Normalizacao!$AI$5:$AI$17)/J176,""))</f>
        <v>0.82192453174397</v>
      </c>
      <c r="L176" s="60" t="n">
        <f aca="false">IF(J176=0,"",IFERROR(SUMPRODUCT(Normalizacao!$AL$5:$AL$17,Pesos_Indicadores!$I$5:$I$17,((Pesos_Indicadores!$B$5:$B$17=$A$11)*I176+(Pesos_Indicadores!$B$5:$B$17&lt;&gt;$A$11)*Pesos_Indicadores!$G$5:$G$17*(1-I176)/(1-$B$11)),Normalizacao!$AJ$5:$AJ$17)/J176,""))</f>
        <v>0.828361099449098</v>
      </c>
      <c r="M176" s="60" t="n">
        <f aca="false">IF(J176=0,"",IFERROR(SUMPRODUCT(Normalizacao!$AL$5:$AL$17,Pesos_Indicadores!$I$5:$I$17,((Pesos_Indicadores!$B$5:$B$17=$A$11)*I176+(Pesos_Indicadores!$B$5:$B$17&lt;&gt;$A$11)*Pesos_Indicadores!$G$5:$G$17*(1-I176)/(1-$B$11)),Normalizacao!$AK$5:$AK$17)/J176,""))</f>
        <v>0.842347425539775</v>
      </c>
      <c r="N176" s="17" t="str">
        <f aca="false">IF(K176="","",IF(INDEX(K176:M176,$B$5)&gt;=MAX(K176:M176),$B$4,INDEX(Pontuacao!$A$29:$A$31,MATCH(MAX(K176:M176),K176:M176,0))))</f>
        <v>Microsoft Azure</v>
      </c>
      <c r="O176" s="43" t="str">
        <f aca="false">IF(OR(N176="",N176=$B$4,ABS(I176-$B$11)&lt;0.000000001),"",ABS(I176-$B$11))</f>
        <v/>
      </c>
      <c r="Q176" s="60" t="n">
        <f aca="false">(ROW()-17)*$B$6</f>
        <v>0.795</v>
      </c>
      <c r="R176" s="43" t="n">
        <f aca="false">IFERROR(SUMPRODUCT(Normalizacao!$AL$5:$AL$17,Pesos_Indicadores!$I$5:$I$17,((Pesos_Indicadores!$B$5:$B$17=$A$12)*Q176+(Pesos_Indicadores!$B$5:$B$17&lt;&gt;$A$12)*Pesos_Indicadores!$G$5:$G$17*(1-Q176)/(1-$B$12))),0)</f>
        <v>0.976346153846154</v>
      </c>
      <c r="S176" s="60" t="n">
        <f aca="false">IF(R176=0,"",IFERROR(SUMPRODUCT(Normalizacao!$AL$5:$AL$17,Pesos_Indicadores!$I$5:$I$17,((Pesos_Indicadores!$B$5:$B$17=$A$12)*Q176+(Pesos_Indicadores!$B$5:$B$17&lt;&gt;$A$12)*Pesos_Indicadores!$G$5:$G$17*(1-Q176)/(1-$B$12)),Normalizacao!$AI$5:$AI$17)/R176,""))</f>
        <v>0.745658422084791</v>
      </c>
      <c r="T176" s="60" t="n">
        <f aca="false">IF(R176=0,"",IFERROR(SUMPRODUCT(Normalizacao!$AL$5:$AL$17,Pesos_Indicadores!$I$5:$I$17,((Pesos_Indicadores!$B$5:$B$17=$A$12)*Q176+(Pesos_Indicadores!$B$5:$B$17&lt;&gt;$A$12)*Pesos_Indicadores!$G$5:$G$17*(1-Q176)/(1-$B$12)),Normalizacao!$AJ$5:$AJ$17)/R176,""))</f>
        <v>0.772573594899419</v>
      </c>
      <c r="U176" s="60" t="n">
        <f aca="false">IF(R176=0,"",IFERROR(SUMPRODUCT(Normalizacao!$AL$5:$AL$17,Pesos_Indicadores!$I$5:$I$17,((Pesos_Indicadores!$B$5:$B$17=$A$12)*Q176+(Pesos_Indicadores!$B$5:$B$17&lt;&gt;$A$12)*Pesos_Indicadores!$G$5:$G$17*(1-Q176)/(1-$B$12)),Normalizacao!$AK$5:$AK$17)/R176,""))</f>
        <v>0.823995529230883</v>
      </c>
      <c r="V176" s="17" t="str">
        <f aca="false">IF(S176="","",IF(INDEX(S176:U176,$B$5)&gt;=MAX(S176:U176),$B$4,INDEX(Pontuacao!$A$29:$A$31,MATCH(MAX(S176:U176),S176:U176,0))))</f>
        <v>Microsoft Azure</v>
      </c>
      <c r="W176" s="43" t="str">
        <f aca="false">IF(OR(V176="",V176=$B$4,ABS(Q176-$B$12)&lt;0.000000001),"",ABS(Q176-$B$12))</f>
        <v/>
      </c>
    </row>
    <row r="177" customFormat="false" ht="15" hidden="false" customHeight="true" outlineLevel="0" collapsed="false">
      <c r="A177" s="60" t="n">
        <f aca="false">(ROW()-17)*$B$6</f>
        <v>0.8</v>
      </c>
      <c r="B177" s="43" t="n">
        <f aca="false">IFERROR(SUMPRODUCT(Normalizacao!$AL$5:$AL$17,Pesos_Indicadores!$I$5:$I$17,((Pesos_Indicadores!$B$5:$B$17=$A$10)*A177+(Pesos_Indicadores!$B$5:$B$17&lt;&gt;$A$10)*Pesos_Indicadores!$G$5:$G$17*(1-A177)/(1-$B$10))),0)</f>
        <v>0.995384615384615</v>
      </c>
      <c r="C177" s="60" t="n">
        <f aca="false">IF(B177=0,"",IFERROR(SUMPRODUCT(Normalizacao!$AL$5:$AL$17,Pesos_Indicadores!$I$5:$I$17,((Pesos_Indicadores!$B$5:$B$17=$A$10)*A177+(Pesos_Indicadores!$B$5:$B$17&lt;&gt;$A$10)*Pesos_Indicadores!$G$5:$G$17*(1-A177)/(1-$B$10)),Normalizacao!$AI$5:$AI$17)/B177,""))</f>
        <v>0.656484425565628</v>
      </c>
      <c r="D177" s="60" t="n">
        <f aca="false">IF(B177=0,"",IFERROR(SUMPRODUCT(Normalizacao!$AL$5:$AL$17,Pesos_Indicadores!$I$5:$I$17,((Pesos_Indicadores!$B$5:$B$17=$A$10)*A177+(Pesos_Indicadores!$B$5:$B$17&lt;&gt;$A$10)*Pesos_Indicadores!$G$5:$G$17*(1-A177)/(1-$B$10)),Normalizacao!$AJ$5:$AJ$17)/B177,""))</f>
        <v>0.862536119884416</v>
      </c>
      <c r="E177" s="60" t="n">
        <f aca="false">IF(B177=0,"",IFERROR(SUMPRODUCT(Normalizacao!$AL$5:$AL$17,Pesos_Indicadores!$I$5:$I$17,((Pesos_Indicadores!$B$5:$B$17=$A$10)*A177+(Pesos_Indicadores!$B$5:$B$17&lt;&gt;$A$10)*Pesos_Indicadores!$G$5:$G$17*(1-A177)/(1-$B$10)),Normalizacao!$AK$5:$AK$17)/B177,""))</f>
        <v>0.878117825306487</v>
      </c>
      <c r="F177" s="17" t="str">
        <f aca="false">IF(C177="","",IF(INDEX(C177:E177,$B$5)&gt;=MAX(C177:E177),$B$4,INDEX(Pontuacao!$A$29:$A$31,MATCH(MAX(C177:E177),C177:E177,0))))</f>
        <v>Microsoft Azure</v>
      </c>
      <c r="G177" s="43" t="str">
        <f aca="false">IF(OR(F177="",F177=$B$4,ABS(A177-$B$10)&lt;0.000000001),"",ABS(A177-$B$10))</f>
        <v/>
      </c>
      <c r="I177" s="60" t="n">
        <f aca="false">(ROW()-17)*$B$6</f>
        <v>0.8</v>
      </c>
      <c r="J177" s="43" t="n">
        <f aca="false">IFERROR(SUMPRODUCT(Normalizacao!$AL$5:$AL$17,Pesos_Indicadores!$I$5:$I$17,((Pesos_Indicadores!$B$5:$B$17=$A$11)*I177+(Pesos_Indicadores!$B$5:$B$17&lt;&gt;$A$11)*Pesos_Indicadores!$G$5:$G$17*(1-I177)/(1-$B$11))),0)</f>
        <v>0.815384615384615</v>
      </c>
      <c r="K177" s="60" t="n">
        <f aca="false">IF(J177=0,"",IFERROR(SUMPRODUCT(Normalizacao!$AL$5:$AL$17,Pesos_Indicadores!$I$5:$I$17,((Pesos_Indicadores!$B$5:$B$17=$A$11)*I177+(Pesos_Indicadores!$B$5:$B$17&lt;&gt;$A$11)*Pesos_Indicadores!$G$5:$G$17*(1-I177)/(1-$B$11)),Normalizacao!$AI$5:$AI$17)/J177,""))</f>
        <v>0.822570538836838</v>
      </c>
      <c r="L177" s="60" t="n">
        <f aca="false">IF(J177=0,"",IFERROR(SUMPRODUCT(Normalizacao!$AL$5:$AL$17,Pesos_Indicadores!$I$5:$I$17,((Pesos_Indicadores!$B$5:$B$17=$A$11)*I177+(Pesos_Indicadores!$B$5:$B$17&lt;&gt;$A$11)*Pesos_Indicadores!$G$5:$G$17*(1-I177)/(1-$B$11)),Normalizacao!$AJ$5:$AJ$17)/J177,""))</f>
        <v>0.828859003281378</v>
      </c>
      <c r="M177" s="60" t="n">
        <f aca="false">IF(J177=0,"",IFERROR(SUMPRODUCT(Normalizacao!$AL$5:$AL$17,Pesos_Indicadores!$I$5:$I$17,((Pesos_Indicadores!$B$5:$B$17=$A$11)*I177+(Pesos_Indicadores!$B$5:$B$17&lt;&gt;$A$11)*Pesos_Indicadores!$G$5:$G$17*(1-I177)/(1-$B$11)),Normalizacao!$AK$5:$AK$17)/J177,""))</f>
        <v>0.842515224399799</v>
      </c>
      <c r="N177" s="17" t="str">
        <f aca="false">IF(K177="","",IF(INDEX(K177:M177,$B$5)&gt;=MAX(K177:M177),$B$4,INDEX(Pontuacao!$A$29:$A$31,MATCH(MAX(K177:M177),K177:M177,0))))</f>
        <v>Microsoft Azure</v>
      </c>
      <c r="O177" s="43" t="str">
        <f aca="false">IF(OR(N177="",N177=$B$4,ABS(I177-$B$11)&lt;0.000000001),"",ABS(I177-$B$11))</f>
        <v/>
      </c>
      <c r="Q177" s="60" t="n">
        <f aca="false">(ROW()-17)*$B$6</f>
        <v>0.8</v>
      </c>
      <c r="R177" s="43" t="n">
        <f aca="false">IFERROR(SUMPRODUCT(Normalizacao!$AL$5:$AL$17,Pesos_Indicadores!$I$5:$I$17,((Pesos_Indicadores!$B$5:$B$17=$A$12)*Q177+(Pesos_Indicadores!$B$5:$B$17&lt;&gt;$A$12)*Pesos_Indicadores!$G$5:$G$17*(1-Q177)/(1-$B$12))),0)</f>
        <v>0.976923076923077</v>
      </c>
      <c r="S177" s="60" t="n">
        <f aca="false">IF(R177=0,"",IFERROR(SUMPRODUCT(Normalizacao!$AL$5:$AL$17,Pesos_Indicadores!$I$5:$I$17,((Pesos_Indicadores!$B$5:$B$17=$A$12)*Q177+(Pesos_Indicadores!$B$5:$B$17&lt;&gt;$A$12)*Pesos_Indicadores!$G$5:$G$17*(1-Q177)/(1-$B$12)),Normalizacao!$AI$5:$AI$17)/R177,""))</f>
        <v>0.7457668156183</v>
      </c>
      <c r="T177" s="60" t="n">
        <f aca="false">IF(R177=0,"",IFERROR(SUMPRODUCT(Normalizacao!$AL$5:$AL$17,Pesos_Indicadores!$I$5:$I$17,((Pesos_Indicadores!$B$5:$B$17=$A$12)*Q177+(Pesos_Indicadores!$B$5:$B$17&lt;&gt;$A$12)*Pesos_Indicadores!$G$5:$G$17*(1-Q177)/(1-$B$12)),Normalizacao!$AJ$5:$AJ$17)/R177,""))</f>
        <v>0.772010013693941</v>
      </c>
      <c r="U177" s="60" t="n">
        <f aca="false">IF(R177=0,"",IFERROR(SUMPRODUCT(Normalizacao!$AL$5:$AL$17,Pesos_Indicadores!$I$5:$I$17,((Pesos_Indicadores!$B$5:$B$17=$A$12)*Q177+(Pesos_Indicadores!$B$5:$B$17&lt;&gt;$A$12)*Pesos_Indicadores!$G$5:$G$17*(1-Q177)/(1-$B$12)),Normalizacao!$AK$5:$AK$17)/R177,""))</f>
        <v>0.823708527348798</v>
      </c>
      <c r="V177" s="17" t="str">
        <f aca="false">IF(S177="","",IF(INDEX(S177:U177,$B$5)&gt;=MAX(S177:U177),$B$4,INDEX(Pontuacao!$A$29:$A$31,MATCH(MAX(S177:U177),S177:U177,0))))</f>
        <v>Microsoft Azure</v>
      </c>
      <c r="W177" s="43" t="str">
        <f aca="false">IF(OR(V177="",V177=$B$4,ABS(Q177-$B$12)&lt;0.000000001),"",ABS(Q177-$B$12))</f>
        <v/>
      </c>
    </row>
    <row r="178" customFormat="false" ht="15" hidden="false" customHeight="true" outlineLevel="0" collapsed="false">
      <c r="A178" s="60" t="n">
        <f aca="false">(ROW()-17)*$B$6</f>
        <v>0.805</v>
      </c>
      <c r="B178" s="43" t="n">
        <f aca="false">IFERROR(SUMPRODUCT(Normalizacao!$AL$5:$AL$17,Pesos_Indicadores!$I$5:$I$17,((Pesos_Indicadores!$B$5:$B$17=$A$10)*A178+(Pesos_Indicadores!$B$5:$B$17&lt;&gt;$A$10)*Pesos_Indicadores!$G$5:$G$17*(1-A178)/(1-$B$10))),0)</f>
        <v>0.9955</v>
      </c>
      <c r="C178" s="60" t="n">
        <f aca="false">IF(B178=0,"",IFERROR(SUMPRODUCT(Normalizacao!$AL$5:$AL$17,Pesos_Indicadores!$I$5:$I$17,((Pesos_Indicadores!$B$5:$B$17=$A$10)*A178+(Pesos_Indicadores!$B$5:$B$17&lt;&gt;$A$10)*Pesos_Indicadores!$G$5:$G$17*(1-A178)/(1-$B$10)),Normalizacao!$AI$5:$AI$17)/B178,""))</f>
        <v>0.65586256575643</v>
      </c>
      <c r="D178" s="60" t="n">
        <f aca="false">IF(B178=0,"",IFERROR(SUMPRODUCT(Normalizacao!$AL$5:$AL$17,Pesos_Indicadores!$I$5:$I$17,((Pesos_Indicadores!$B$5:$B$17=$A$10)*A178+(Pesos_Indicadores!$B$5:$B$17&lt;&gt;$A$10)*Pesos_Indicadores!$G$5:$G$17*(1-A178)/(1-$B$10)),Normalizacao!$AJ$5:$AJ$17)/B178,""))</f>
        <v>0.863178051230537</v>
      </c>
      <c r="E178" s="60" t="n">
        <f aca="false">IF(B178=0,"",IFERROR(SUMPRODUCT(Normalizacao!$AL$5:$AL$17,Pesos_Indicadores!$I$5:$I$17,((Pesos_Indicadores!$B$5:$B$17=$A$10)*A178+(Pesos_Indicadores!$B$5:$B$17&lt;&gt;$A$10)*Pesos_Indicadores!$G$5:$G$17*(1-A178)/(1-$B$10)),Normalizacao!$AK$5:$AK$17)/B178,""))</f>
        <v>0.878502347201841</v>
      </c>
      <c r="F178" s="17" t="str">
        <f aca="false">IF(C178="","",IF(INDEX(C178:E178,$B$5)&gt;=MAX(C178:E178),$B$4,INDEX(Pontuacao!$A$29:$A$31,MATCH(MAX(C178:E178),C178:E178,0))))</f>
        <v>Microsoft Azure</v>
      </c>
      <c r="G178" s="43" t="str">
        <f aca="false">IF(OR(F178="",F178=$B$4,ABS(A178-$B$10)&lt;0.000000001),"",ABS(A178-$B$10))</f>
        <v/>
      </c>
      <c r="I178" s="60" t="n">
        <f aca="false">(ROW()-17)*$B$6</f>
        <v>0.805</v>
      </c>
      <c r="J178" s="43" t="n">
        <f aca="false">IFERROR(SUMPRODUCT(Normalizacao!$AL$5:$AL$17,Pesos_Indicadores!$I$5:$I$17,((Pesos_Indicadores!$B$5:$B$17=$A$11)*I178+(Pesos_Indicadores!$B$5:$B$17&lt;&gt;$A$11)*Pesos_Indicadores!$G$5:$G$17*(1-I178)/(1-$B$11))),0)</f>
        <v>0.814230769230769</v>
      </c>
      <c r="K178" s="60" t="n">
        <f aca="false">IF(J178=0,"",IFERROR(SUMPRODUCT(Normalizacao!$AL$5:$AL$17,Pesos_Indicadores!$I$5:$I$17,((Pesos_Indicadores!$B$5:$B$17=$A$11)*I178+(Pesos_Indicadores!$B$5:$B$17&lt;&gt;$A$11)*Pesos_Indicadores!$G$5:$G$17*(1-I178)/(1-$B$11)),Normalizacao!$AI$5:$AI$17)/J178,""))</f>
        <v>0.823218376842581</v>
      </c>
      <c r="L178" s="60" t="n">
        <f aca="false">IF(J178=0,"",IFERROR(SUMPRODUCT(Normalizacao!$AL$5:$AL$17,Pesos_Indicadores!$I$5:$I$17,((Pesos_Indicadores!$B$5:$B$17=$A$11)*I178+(Pesos_Indicadores!$B$5:$B$17&lt;&gt;$A$11)*Pesos_Indicadores!$G$5:$G$17*(1-I178)/(1-$B$11)),Normalizacao!$AJ$5:$AJ$17)/J178,""))</f>
        <v>0.829358318272371</v>
      </c>
      <c r="M178" s="60" t="n">
        <f aca="false">IF(J178=0,"",IFERROR(SUMPRODUCT(Normalizacao!$AL$5:$AL$17,Pesos_Indicadores!$I$5:$I$17,((Pesos_Indicadores!$B$5:$B$17=$A$11)*I178+(Pesos_Indicadores!$B$5:$B$17&lt;&gt;$A$11)*Pesos_Indicadores!$G$5:$G$17*(1-I178)/(1-$B$11)),Normalizacao!$AK$5:$AK$17)/J178,""))</f>
        <v>0.84268349883524</v>
      </c>
      <c r="N178" s="17" t="str">
        <f aca="false">IF(K178="","",IF(INDEX(K178:M178,$B$5)&gt;=MAX(K178:M178),$B$4,INDEX(Pontuacao!$A$29:$A$31,MATCH(MAX(K178:M178),K178:M178,0))))</f>
        <v>Microsoft Azure</v>
      </c>
      <c r="O178" s="43" t="str">
        <f aca="false">IF(OR(N178="",N178=$B$4,ABS(I178-$B$11)&lt;0.000000001),"",ABS(I178-$B$11))</f>
        <v/>
      </c>
      <c r="Q178" s="60" t="n">
        <f aca="false">(ROW()-17)*$B$6</f>
        <v>0.805</v>
      </c>
      <c r="R178" s="43" t="n">
        <f aca="false">IFERROR(SUMPRODUCT(Normalizacao!$AL$5:$AL$17,Pesos_Indicadores!$I$5:$I$17,((Pesos_Indicadores!$B$5:$B$17=$A$12)*Q178+(Pesos_Indicadores!$B$5:$B$17&lt;&gt;$A$12)*Pesos_Indicadores!$G$5:$G$17*(1-Q178)/(1-$B$12))),0)</f>
        <v>0.9775</v>
      </c>
      <c r="S178" s="60" t="n">
        <f aca="false">IF(R178=0,"",IFERROR(SUMPRODUCT(Normalizacao!$AL$5:$AL$17,Pesos_Indicadores!$I$5:$I$17,((Pesos_Indicadores!$B$5:$B$17=$A$12)*Q178+(Pesos_Indicadores!$B$5:$B$17&lt;&gt;$A$12)*Pesos_Indicadores!$G$5:$G$17*(1-Q178)/(1-$B$12)),Normalizacao!$AI$5:$AI$17)/R178,""))</f>
        <v>0.745875081203509</v>
      </c>
      <c r="T178" s="60" t="n">
        <f aca="false">IF(R178=0,"",IFERROR(SUMPRODUCT(Normalizacao!$AL$5:$AL$17,Pesos_Indicadores!$I$5:$I$17,((Pesos_Indicadores!$B$5:$B$17=$A$12)*Q178+(Pesos_Indicadores!$B$5:$B$17&lt;&gt;$A$12)*Pesos_Indicadores!$G$5:$G$17*(1-Q178)/(1-$B$12)),Normalizacao!$AJ$5:$AJ$17)/R178,""))</f>
        <v>0.771447097742689</v>
      </c>
      <c r="U178" s="60" t="n">
        <f aca="false">IF(R178=0,"",IFERROR(SUMPRODUCT(Normalizacao!$AL$5:$AL$17,Pesos_Indicadores!$I$5:$I$17,((Pesos_Indicadores!$B$5:$B$17=$A$12)*Q178+(Pesos_Indicadores!$B$5:$B$17&lt;&gt;$A$12)*Pesos_Indicadores!$G$5:$G$17*(1-Q178)/(1-$B$12)),Normalizacao!$AK$5:$AK$17)/R178,""))</f>
        <v>0.823421864245248</v>
      </c>
      <c r="V178" s="17" t="str">
        <f aca="false">IF(S178="","",IF(INDEX(S178:U178,$B$5)&gt;=MAX(S178:U178),$B$4,INDEX(Pontuacao!$A$29:$A$31,MATCH(MAX(S178:U178),S178:U178,0))))</f>
        <v>Microsoft Azure</v>
      </c>
      <c r="W178" s="43" t="str">
        <f aca="false">IF(OR(V178="",V178=$B$4,ABS(Q178-$B$12)&lt;0.000000001),"",ABS(Q178-$B$12))</f>
        <v/>
      </c>
    </row>
    <row r="179" customFormat="false" ht="15" hidden="false" customHeight="true" outlineLevel="0" collapsed="false">
      <c r="A179" s="60" t="n">
        <f aca="false">(ROW()-17)*$B$6</f>
        <v>0.81</v>
      </c>
      <c r="B179" s="43" t="n">
        <f aca="false">IFERROR(SUMPRODUCT(Normalizacao!$AL$5:$AL$17,Pesos_Indicadores!$I$5:$I$17,((Pesos_Indicadores!$B$5:$B$17=$A$10)*A179+(Pesos_Indicadores!$B$5:$B$17&lt;&gt;$A$10)*Pesos_Indicadores!$G$5:$G$17*(1-A179)/(1-$B$10))),0)</f>
        <v>0.995615384615385</v>
      </c>
      <c r="C179" s="60" t="n">
        <f aca="false">IF(B179=0,"",IFERROR(SUMPRODUCT(Normalizacao!$AL$5:$AL$17,Pesos_Indicadores!$I$5:$I$17,((Pesos_Indicadores!$B$5:$B$17=$A$10)*A179+(Pesos_Indicadores!$B$5:$B$17&lt;&gt;$A$10)*Pesos_Indicadores!$G$5:$G$17*(1-A179)/(1-$B$10)),Normalizacao!$AI$5:$AI$17)/B179,""))</f>
        <v>0.655240850085333</v>
      </c>
      <c r="D179" s="60" t="n">
        <f aca="false">IF(B179=0,"",IFERROR(SUMPRODUCT(Normalizacao!$AL$5:$AL$17,Pesos_Indicadores!$I$5:$I$17,((Pesos_Indicadores!$B$5:$B$17=$A$10)*A179+(Pesos_Indicadores!$B$5:$B$17&lt;&gt;$A$10)*Pesos_Indicadores!$G$5:$G$17*(1-A179)/(1-$B$10)),Normalizacao!$AJ$5:$AJ$17)/B179,""))</f>
        <v>0.863819833786267</v>
      </c>
      <c r="E179" s="60" t="n">
        <f aca="false">IF(B179=0,"",IFERROR(SUMPRODUCT(Normalizacao!$AL$5:$AL$17,Pesos_Indicadores!$I$5:$I$17,((Pesos_Indicadores!$B$5:$B$17=$A$10)*A179+(Pesos_Indicadores!$B$5:$B$17&lt;&gt;$A$10)*Pesos_Indicadores!$G$5:$G$17*(1-A179)/(1-$B$10)),Normalizacao!$AK$5:$AK$17)/B179,""))</f>
        <v>0.878886779970588</v>
      </c>
      <c r="F179" s="17" t="str">
        <f aca="false">IF(C179="","",IF(INDEX(C179:E179,$B$5)&gt;=MAX(C179:E179),$B$4,INDEX(Pontuacao!$A$29:$A$31,MATCH(MAX(C179:E179),C179:E179,0))))</f>
        <v>Microsoft Azure</v>
      </c>
      <c r="G179" s="43" t="str">
        <f aca="false">IF(OR(F179="",F179=$B$4,ABS(A179-$B$10)&lt;0.000000001),"",ABS(A179-$B$10))</f>
        <v/>
      </c>
      <c r="I179" s="60" t="n">
        <f aca="false">(ROW()-17)*$B$6</f>
        <v>0.81</v>
      </c>
      <c r="J179" s="43" t="n">
        <f aca="false">IFERROR(SUMPRODUCT(Normalizacao!$AL$5:$AL$17,Pesos_Indicadores!$I$5:$I$17,((Pesos_Indicadores!$B$5:$B$17=$A$11)*I179+(Pesos_Indicadores!$B$5:$B$17&lt;&gt;$A$11)*Pesos_Indicadores!$G$5:$G$17*(1-I179)/(1-$B$11))),0)</f>
        <v>0.813076923076923</v>
      </c>
      <c r="K179" s="60" t="n">
        <f aca="false">IF(J179=0,"",IFERROR(SUMPRODUCT(Normalizacao!$AL$5:$AL$17,Pesos_Indicadores!$I$5:$I$17,((Pesos_Indicadores!$B$5:$B$17=$A$11)*I179+(Pesos_Indicadores!$B$5:$B$17&lt;&gt;$A$11)*Pesos_Indicadores!$G$5:$G$17*(1-I179)/(1-$B$11)),Normalizacao!$AI$5:$AI$17)/J179,""))</f>
        <v>0.823868053556004</v>
      </c>
      <c r="L179" s="60" t="n">
        <f aca="false">IF(J179=0,"",IFERROR(SUMPRODUCT(Normalizacao!$AL$5:$AL$17,Pesos_Indicadores!$I$5:$I$17,((Pesos_Indicadores!$B$5:$B$17=$A$11)*I179+(Pesos_Indicadores!$B$5:$B$17&lt;&gt;$A$11)*Pesos_Indicadores!$G$5:$G$17*(1-I179)/(1-$B$11)),Normalizacao!$AJ$5:$AJ$17)/J179,""))</f>
        <v>0.829859050429847</v>
      </c>
      <c r="M179" s="60" t="n">
        <f aca="false">IF(J179=0,"",IFERROR(SUMPRODUCT(Normalizacao!$AL$5:$AL$17,Pesos_Indicadores!$I$5:$I$17,((Pesos_Indicadores!$B$5:$B$17=$A$11)*I179+(Pesos_Indicadores!$B$5:$B$17&lt;&gt;$A$11)*Pesos_Indicadores!$G$5:$G$17*(1-I179)/(1-$B$11)),Normalizacao!$AK$5:$AK$17)/J179,""))</f>
        <v>0.842852250870782</v>
      </c>
      <c r="N179" s="17" t="str">
        <f aca="false">IF(K179="","",IF(INDEX(K179:M179,$B$5)&gt;=MAX(K179:M179),$B$4,INDEX(Pontuacao!$A$29:$A$31,MATCH(MAX(K179:M179),K179:M179,0))))</f>
        <v>Microsoft Azure</v>
      </c>
      <c r="O179" s="43" t="str">
        <f aca="false">IF(OR(N179="",N179=$B$4,ABS(I179-$B$11)&lt;0.000000001),"",ABS(I179-$B$11))</f>
        <v/>
      </c>
      <c r="Q179" s="60" t="n">
        <f aca="false">(ROW()-17)*$B$6</f>
        <v>0.81</v>
      </c>
      <c r="R179" s="43" t="n">
        <f aca="false">IFERROR(SUMPRODUCT(Normalizacao!$AL$5:$AL$17,Pesos_Indicadores!$I$5:$I$17,((Pesos_Indicadores!$B$5:$B$17=$A$12)*Q179+(Pesos_Indicadores!$B$5:$B$17&lt;&gt;$A$12)*Pesos_Indicadores!$G$5:$G$17*(1-Q179)/(1-$B$12))),0)</f>
        <v>0.978076923076923</v>
      </c>
      <c r="S179" s="60" t="n">
        <f aca="false">IF(R179=0,"",IFERROR(SUMPRODUCT(Normalizacao!$AL$5:$AL$17,Pesos_Indicadores!$I$5:$I$17,((Pesos_Indicadores!$B$5:$B$17=$A$12)*Q179+(Pesos_Indicadores!$B$5:$B$17&lt;&gt;$A$12)*Pesos_Indicadores!$G$5:$G$17*(1-Q179)/(1-$B$12)),Normalizacao!$AI$5:$AI$17)/R179,""))</f>
        <v>0.745983219066833</v>
      </c>
      <c r="T179" s="60" t="n">
        <f aca="false">IF(R179=0,"",IFERROR(SUMPRODUCT(Normalizacao!$AL$5:$AL$17,Pesos_Indicadores!$I$5:$I$17,((Pesos_Indicadores!$B$5:$B$17=$A$12)*Q179+(Pesos_Indicadores!$B$5:$B$17&lt;&gt;$A$12)*Pesos_Indicadores!$G$5:$G$17*(1-Q179)/(1-$B$12)),Normalizacao!$AJ$5:$AJ$17)/R179,""))</f>
        <v>0.770884845868454</v>
      </c>
      <c r="U179" s="60" t="n">
        <f aca="false">IF(R179=0,"",IFERROR(SUMPRODUCT(Normalizacao!$AL$5:$AL$17,Pesos_Indicadores!$I$5:$I$17,((Pesos_Indicadores!$B$5:$B$17=$A$12)*Q179+(Pesos_Indicadores!$B$5:$B$17&lt;&gt;$A$12)*Pesos_Indicadores!$G$5:$G$17*(1-Q179)/(1-$B$12)),Normalizacao!$AK$5:$AK$17)/R179,""))</f>
        <v>0.823135539320743</v>
      </c>
      <c r="V179" s="17" t="str">
        <f aca="false">IF(S179="","",IF(INDEX(S179:U179,$B$5)&gt;=MAX(S179:U179),$B$4,INDEX(Pontuacao!$A$29:$A$31,MATCH(MAX(S179:U179),S179:U179,0))))</f>
        <v>Microsoft Azure</v>
      </c>
      <c r="W179" s="43" t="str">
        <f aca="false">IF(OR(V179="",V179=$B$4,ABS(Q179-$B$12)&lt;0.000000001),"",ABS(Q179-$B$12))</f>
        <v/>
      </c>
    </row>
    <row r="180" customFormat="false" ht="15" hidden="false" customHeight="true" outlineLevel="0" collapsed="false">
      <c r="A180" s="60" t="n">
        <f aca="false">(ROW()-17)*$B$6</f>
        <v>0.815</v>
      </c>
      <c r="B180" s="43" t="n">
        <f aca="false">IFERROR(SUMPRODUCT(Normalizacao!$AL$5:$AL$17,Pesos_Indicadores!$I$5:$I$17,((Pesos_Indicadores!$B$5:$B$17=$A$10)*A180+(Pesos_Indicadores!$B$5:$B$17&lt;&gt;$A$10)*Pesos_Indicadores!$G$5:$G$17*(1-A180)/(1-$B$10))),0)</f>
        <v>0.995730769230769</v>
      </c>
      <c r="C180" s="60" t="n">
        <f aca="false">IF(B180=0,"",IFERROR(SUMPRODUCT(Normalizacao!$AL$5:$AL$17,Pesos_Indicadores!$I$5:$I$17,((Pesos_Indicadores!$B$5:$B$17=$A$10)*A180+(Pesos_Indicadores!$B$5:$B$17&lt;&gt;$A$10)*Pesos_Indicadores!$G$5:$G$17*(1-A180)/(1-$B$10)),Normalizacao!$AI$5:$AI$17)/B180,""))</f>
        <v>0.654619278502227</v>
      </c>
      <c r="D180" s="60" t="n">
        <f aca="false">IF(B180=0,"",IFERROR(SUMPRODUCT(Normalizacao!$AL$5:$AL$17,Pesos_Indicadores!$I$5:$I$17,((Pesos_Indicadores!$B$5:$B$17=$A$10)*A180+(Pesos_Indicadores!$B$5:$B$17&lt;&gt;$A$10)*Pesos_Indicadores!$G$5:$G$17*(1-A180)/(1-$B$10)),Normalizacao!$AJ$5:$AJ$17)/B180,""))</f>
        <v>0.86446146760333</v>
      </c>
      <c r="E180" s="60" t="n">
        <f aca="false">IF(B180=0,"",IFERROR(SUMPRODUCT(Normalizacao!$AL$5:$AL$17,Pesos_Indicadores!$I$5:$I$17,((Pesos_Indicadores!$B$5:$B$17=$A$10)*A180+(Pesos_Indicadores!$B$5:$B$17&lt;&gt;$A$10)*Pesos_Indicadores!$G$5:$G$17*(1-A180)/(1-$B$10)),Normalizacao!$AK$5:$AK$17)/B180,""))</f>
        <v>0.87927112364371</v>
      </c>
      <c r="F180" s="17" t="str">
        <f aca="false">IF(C180="","",IF(INDEX(C180:E180,$B$5)&gt;=MAX(C180:E180),$B$4,INDEX(Pontuacao!$A$29:$A$31,MATCH(MAX(C180:E180),C180:E180,0))))</f>
        <v>Microsoft Azure</v>
      </c>
      <c r="G180" s="43" t="str">
        <f aca="false">IF(OR(F180="",F180=$B$4,ABS(A180-$B$10)&lt;0.000000001),"",ABS(A180-$B$10))</f>
        <v/>
      </c>
      <c r="I180" s="60" t="n">
        <f aca="false">(ROW()-17)*$B$6</f>
        <v>0.815</v>
      </c>
      <c r="J180" s="43" t="n">
        <f aca="false">IFERROR(SUMPRODUCT(Normalizacao!$AL$5:$AL$17,Pesos_Indicadores!$I$5:$I$17,((Pesos_Indicadores!$B$5:$B$17=$A$11)*I180+(Pesos_Indicadores!$B$5:$B$17&lt;&gt;$A$11)*Pesos_Indicadores!$G$5:$G$17*(1-I180)/(1-$B$11))),0)</f>
        <v>0.811923076923077</v>
      </c>
      <c r="K180" s="60" t="n">
        <f aca="false">IF(J180=0,"",IFERROR(SUMPRODUCT(Normalizacao!$AL$5:$AL$17,Pesos_Indicadores!$I$5:$I$17,((Pesos_Indicadores!$B$5:$B$17=$A$11)*I180+(Pesos_Indicadores!$B$5:$B$17&lt;&gt;$A$11)*Pesos_Indicadores!$G$5:$G$17*(1-I180)/(1-$B$11)),Normalizacao!$AI$5:$AI$17)/J180,""))</f>
        <v>0.824519576816219</v>
      </c>
      <c r="L180" s="60" t="n">
        <f aca="false">IF(J180=0,"",IFERROR(SUMPRODUCT(Normalizacao!$AL$5:$AL$17,Pesos_Indicadores!$I$5:$I$17,((Pesos_Indicadores!$B$5:$B$17=$A$11)*I180+(Pesos_Indicadores!$B$5:$B$17&lt;&gt;$A$11)*Pesos_Indicadores!$G$5:$G$17*(1-I180)/(1-$B$11)),Normalizacao!$AJ$5:$AJ$17)/J180,""))</f>
        <v>0.830361205795728</v>
      </c>
      <c r="M180" s="60" t="n">
        <f aca="false">IF(J180=0,"",IFERROR(SUMPRODUCT(Normalizacao!$AL$5:$AL$17,Pesos_Indicadores!$I$5:$I$17,((Pesos_Indicadores!$B$5:$B$17=$A$11)*I180+(Pesos_Indicadores!$B$5:$B$17&lt;&gt;$A$11)*Pesos_Indicadores!$G$5:$G$17*(1-I180)/(1-$B$11)),Normalizacao!$AK$5:$AK$17)/J180,""))</f>
        <v>0.843021482542617</v>
      </c>
      <c r="N180" s="17" t="str">
        <f aca="false">IF(K180="","",IF(INDEX(K180:M180,$B$5)&gt;=MAX(K180:M180),$B$4,INDEX(Pontuacao!$A$29:$A$31,MATCH(MAX(K180:M180),K180:M180,0))))</f>
        <v>Microsoft Azure</v>
      </c>
      <c r="O180" s="43" t="str">
        <f aca="false">IF(OR(N180="",N180=$B$4,ABS(I180-$B$11)&lt;0.000000001),"",ABS(I180-$B$11))</f>
        <v/>
      </c>
      <c r="Q180" s="60" t="n">
        <f aca="false">(ROW()-17)*$B$6</f>
        <v>0.815</v>
      </c>
      <c r="R180" s="43" t="n">
        <f aca="false">IFERROR(SUMPRODUCT(Normalizacao!$AL$5:$AL$17,Pesos_Indicadores!$I$5:$I$17,((Pesos_Indicadores!$B$5:$B$17=$A$12)*Q180+(Pesos_Indicadores!$B$5:$B$17&lt;&gt;$A$12)*Pesos_Indicadores!$G$5:$G$17*(1-Q180)/(1-$B$12))),0)</f>
        <v>0.978653846153846</v>
      </c>
      <c r="S180" s="60" t="n">
        <f aca="false">IF(R180=0,"",IFERROR(SUMPRODUCT(Normalizacao!$AL$5:$AL$17,Pesos_Indicadores!$I$5:$I$17,((Pesos_Indicadores!$B$5:$B$17=$A$12)*Q180+(Pesos_Indicadores!$B$5:$B$17&lt;&gt;$A$12)*Pesos_Indicadores!$G$5:$G$17*(1-Q180)/(1-$B$12)),Normalizacao!$AI$5:$AI$17)/R180,""))</f>
        <v>0.74609122943415</v>
      </c>
      <c r="T180" s="60" t="n">
        <f aca="false">IF(R180=0,"",IFERROR(SUMPRODUCT(Normalizacao!$AL$5:$AL$17,Pesos_Indicadores!$I$5:$I$17,((Pesos_Indicadores!$B$5:$B$17=$A$12)*Q180+(Pesos_Indicadores!$B$5:$B$17&lt;&gt;$A$12)*Pesos_Indicadores!$G$5:$G$17*(1-Q180)/(1-$B$12)),Normalizacao!$AJ$5:$AJ$17)/R180,""))</f>
        <v>0.770323256896802</v>
      </c>
      <c r="U180" s="60" t="n">
        <f aca="false">IF(R180=0,"",IFERROR(SUMPRODUCT(Normalizacao!$AL$5:$AL$17,Pesos_Indicadores!$I$5:$I$17,((Pesos_Indicadores!$B$5:$B$17=$A$12)*Q180+(Pesos_Indicadores!$B$5:$B$17&lt;&gt;$A$12)*Pesos_Indicadores!$G$5:$G$17*(1-Q180)/(1-$B$12)),Normalizacao!$AK$5:$AK$17)/R180,""))</f>
        <v>0.822849551977206</v>
      </c>
      <c r="V180" s="17" t="str">
        <f aca="false">IF(S180="","",IF(INDEX(S180:U180,$B$5)&gt;=MAX(S180:U180),$B$4,INDEX(Pontuacao!$A$29:$A$31,MATCH(MAX(S180:U180),S180:U180,0))))</f>
        <v>Microsoft Azure</v>
      </c>
      <c r="W180" s="43" t="str">
        <f aca="false">IF(OR(V180="",V180=$B$4,ABS(Q180-$B$12)&lt;0.000000001),"",ABS(Q180-$B$12))</f>
        <v/>
      </c>
    </row>
    <row r="181" customFormat="false" ht="15" hidden="false" customHeight="true" outlineLevel="0" collapsed="false">
      <c r="A181" s="60" t="n">
        <f aca="false">(ROW()-17)*$B$6</f>
        <v>0.82</v>
      </c>
      <c r="B181" s="43" t="n">
        <f aca="false">IFERROR(SUMPRODUCT(Normalizacao!$AL$5:$AL$17,Pesos_Indicadores!$I$5:$I$17,((Pesos_Indicadores!$B$5:$B$17=$A$10)*A181+(Pesos_Indicadores!$B$5:$B$17&lt;&gt;$A$10)*Pesos_Indicadores!$G$5:$G$17*(1-A181)/(1-$B$10))),0)</f>
        <v>0.995846153846154</v>
      </c>
      <c r="C181" s="60" t="n">
        <f aca="false">IF(B181=0,"",IFERROR(SUMPRODUCT(Normalizacao!$AL$5:$AL$17,Pesos_Indicadores!$I$5:$I$17,((Pesos_Indicadores!$B$5:$B$17=$A$10)*A181+(Pesos_Indicadores!$B$5:$B$17&lt;&gt;$A$10)*Pesos_Indicadores!$G$5:$G$17*(1-A181)/(1-$B$10)),Normalizacao!$AI$5:$AI$17)/B181,""))</f>
        <v>0.653997850957029</v>
      </c>
      <c r="D181" s="60" t="n">
        <f aca="false">IF(B181=0,"",IFERROR(SUMPRODUCT(Normalizacao!$AL$5:$AL$17,Pesos_Indicadores!$I$5:$I$17,((Pesos_Indicadores!$B$5:$B$17=$A$10)*A181+(Pesos_Indicadores!$B$5:$B$17&lt;&gt;$A$10)*Pesos_Indicadores!$G$5:$G$17*(1-A181)/(1-$B$10)),Normalizacao!$AJ$5:$AJ$17)/B181,""))</f>
        <v>0.865102952733428</v>
      </c>
      <c r="E181" s="60" t="n">
        <f aca="false">IF(B181=0,"",IFERROR(SUMPRODUCT(Normalizacao!$AL$5:$AL$17,Pesos_Indicadores!$I$5:$I$17,((Pesos_Indicadores!$B$5:$B$17=$A$10)*A181+(Pesos_Indicadores!$B$5:$B$17&lt;&gt;$A$10)*Pesos_Indicadores!$G$5:$G$17*(1-A181)/(1-$B$10)),Normalizacao!$AK$5:$AK$17)/B181,""))</f>
        <v>0.879655378252177</v>
      </c>
      <c r="F181" s="17" t="str">
        <f aca="false">IF(C181="","",IF(INDEX(C181:E181,$B$5)&gt;=MAX(C181:E181),$B$4,INDEX(Pontuacao!$A$29:$A$31,MATCH(MAX(C181:E181),C181:E181,0))))</f>
        <v>Microsoft Azure</v>
      </c>
      <c r="G181" s="43" t="str">
        <f aca="false">IF(OR(F181="",F181=$B$4,ABS(A181-$B$10)&lt;0.000000001),"",ABS(A181-$B$10))</f>
        <v/>
      </c>
      <c r="I181" s="60" t="n">
        <f aca="false">(ROW()-17)*$B$6</f>
        <v>0.82</v>
      </c>
      <c r="J181" s="43" t="n">
        <f aca="false">IFERROR(SUMPRODUCT(Normalizacao!$AL$5:$AL$17,Pesos_Indicadores!$I$5:$I$17,((Pesos_Indicadores!$B$5:$B$17=$A$11)*I181+(Pesos_Indicadores!$B$5:$B$17&lt;&gt;$A$11)*Pesos_Indicadores!$G$5:$G$17*(1-I181)/(1-$B$11))),0)</f>
        <v>0.810769230769231</v>
      </c>
      <c r="K181" s="60" t="n">
        <f aca="false">IF(J181=0,"",IFERROR(SUMPRODUCT(Normalizacao!$AL$5:$AL$17,Pesos_Indicadores!$I$5:$I$17,((Pesos_Indicadores!$B$5:$B$17=$A$11)*I181+(Pesos_Indicadores!$B$5:$B$17&lt;&gt;$A$11)*Pesos_Indicadores!$G$5:$G$17*(1-I181)/(1-$B$11)),Normalizacao!$AI$5:$AI$17)/J181,""))</f>
        <v>0.825172954506967</v>
      </c>
      <c r="L181" s="60" t="n">
        <f aca="false">IF(J181=0,"",IFERROR(SUMPRODUCT(Normalizacao!$AL$5:$AL$17,Pesos_Indicadores!$I$5:$I$17,((Pesos_Indicadores!$B$5:$B$17=$A$11)*I181+(Pesos_Indicadores!$B$5:$B$17&lt;&gt;$A$11)*Pesos_Indicadores!$G$5:$G$17*(1-I181)/(1-$B$11)),Normalizacao!$AJ$5:$AJ$17)/J181,""))</f>
        <v>0.830864790446333</v>
      </c>
      <c r="M181" s="60" t="n">
        <f aca="false">IF(J181=0,"",IFERROR(SUMPRODUCT(Normalizacao!$AL$5:$AL$17,Pesos_Indicadores!$I$5:$I$17,((Pesos_Indicadores!$B$5:$B$17=$A$11)*I181+(Pesos_Indicadores!$B$5:$B$17&lt;&gt;$A$11)*Pesos_Indicadores!$G$5:$G$17*(1-I181)/(1-$B$11)),Normalizacao!$AK$5:$AK$17)/J181,""))</f>
        <v>0.843191195898527</v>
      </c>
      <c r="N181" s="17" t="str">
        <f aca="false">IF(K181="","",IF(INDEX(K181:M181,$B$5)&gt;=MAX(K181:M181),$B$4,INDEX(Pontuacao!$A$29:$A$31,MATCH(MAX(K181:M181),K181:M181,0))))</f>
        <v>Microsoft Azure</v>
      </c>
      <c r="O181" s="43" t="str">
        <f aca="false">IF(OR(N181="",N181=$B$4,ABS(I181-$B$11)&lt;0.000000001),"",ABS(I181-$B$11))</f>
        <v/>
      </c>
      <c r="Q181" s="60" t="n">
        <f aca="false">(ROW()-17)*$B$6</f>
        <v>0.82</v>
      </c>
      <c r="R181" s="43" t="n">
        <f aca="false">IFERROR(SUMPRODUCT(Normalizacao!$AL$5:$AL$17,Pesos_Indicadores!$I$5:$I$17,((Pesos_Indicadores!$B$5:$B$17=$A$12)*Q181+(Pesos_Indicadores!$B$5:$B$17&lt;&gt;$A$12)*Pesos_Indicadores!$G$5:$G$17*(1-Q181)/(1-$B$12))),0)</f>
        <v>0.979230769230769</v>
      </c>
      <c r="S181" s="60" t="n">
        <f aca="false">IF(R181=0,"",IFERROR(SUMPRODUCT(Normalizacao!$AL$5:$AL$17,Pesos_Indicadores!$I$5:$I$17,((Pesos_Indicadores!$B$5:$B$17=$A$12)*Q181+(Pesos_Indicadores!$B$5:$B$17&lt;&gt;$A$12)*Pesos_Indicadores!$G$5:$G$17*(1-Q181)/(1-$B$12)),Normalizacao!$AI$5:$AI$17)/R181,""))</f>
        <v>0.746199112530806</v>
      </c>
      <c r="T181" s="60" t="n">
        <f aca="false">IF(R181=0,"",IFERROR(SUMPRODUCT(Normalizacao!$AL$5:$AL$17,Pesos_Indicadores!$I$5:$I$17,((Pesos_Indicadores!$B$5:$B$17=$A$12)*Q181+(Pesos_Indicadores!$B$5:$B$17&lt;&gt;$A$12)*Pesos_Indicadores!$G$5:$G$17*(1-Q181)/(1-$B$12)),Normalizacao!$AJ$5:$AJ$17)/R181,""))</f>
        <v>0.769762329656067</v>
      </c>
      <c r="U181" s="60" t="n">
        <f aca="false">IF(R181=0,"",IFERROR(SUMPRODUCT(Normalizacao!$AL$5:$AL$17,Pesos_Indicadores!$I$5:$I$17,((Pesos_Indicadores!$B$5:$B$17=$A$12)*Q181+(Pesos_Indicadores!$B$5:$B$17&lt;&gt;$A$12)*Pesos_Indicadores!$G$5:$G$17*(1-Q181)/(1-$B$12)),Normalizacao!$AK$5:$AK$17)/R181,""))</f>
        <v>0.82256390161797</v>
      </c>
      <c r="V181" s="17" t="str">
        <f aca="false">IF(S181="","",IF(INDEX(S181:U181,$B$5)&gt;=MAX(S181:U181),$B$4,INDEX(Pontuacao!$A$29:$A$31,MATCH(MAX(S181:U181),S181:U181,0))))</f>
        <v>Microsoft Azure</v>
      </c>
      <c r="W181" s="43" t="str">
        <f aca="false">IF(OR(V181="",V181=$B$4,ABS(Q181-$B$12)&lt;0.000000001),"",ABS(Q181-$B$12))</f>
        <v/>
      </c>
    </row>
    <row r="182" customFormat="false" ht="15" hidden="false" customHeight="true" outlineLevel="0" collapsed="false">
      <c r="A182" s="60" t="n">
        <f aca="false">(ROW()-17)*$B$6</f>
        <v>0.825</v>
      </c>
      <c r="B182" s="43" t="n">
        <f aca="false">IFERROR(SUMPRODUCT(Normalizacao!$AL$5:$AL$17,Pesos_Indicadores!$I$5:$I$17,((Pesos_Indicadores!$B$5:$B$17=$A$10)*A182+(Pesos_Indicadores!$B$5:$B$17&lt;&gt;$A$10)*Pesos_Indicadores!$G$5:$G$17*(1-A182)/(1-$B$10))),0)</f>
        <v>0.995961538461539</v>
      </c>
      <c r="C182" s="60" t="n">
        <f aca="false">IF(B182=0,"",IFERROR(SUMPRODUCT(Normalizacao!$AL$5:$AL$17,Pesos_Indicadores!$I$5:$I$17,((Pesos_Indicadores!$B$5:$B$17=$A$10)*A182+(Pesos_Indicadores!$B$5:$B$17&lt;&gt;$A$10)*Pesos_Indicadores!$G$5:$G$17*(1-A182)/(1-$B$10)),Normalizacao!$AI$5:$AI$17)/B182,""))</f>
        <v>0.653376567399677</v>
      </c>
      <c r="D182" s="60" t="n">
        <f aca="false">IF(B182=0,"",IFERROR(SUMPRODUCT(Normalizacao!$AL$5:$AL$17,Pesos_Indicadores!$I$5:$I$17,((Pesos_Indicadores!$B$5:$B$17=$A$10)*A182+(Pesos_Indicadores!$B$5:$B$17&lt;&gt;$A$10)*Pesos_Indicadores!$G$5:$G$17*(1-A182)/(1-$B$10)),Normalizacao!$AJ$5:$AJ$17)/B182,""))</f>
        <v>0.865744289228238</v>
      </c>
      <c r="E182" s="60" t="n">
        <f aca="false">IF(B182=0,"",IFERROR(SUMPRODUCT(Normalizacao!$AL$5:$AL$17,Pesos_Indicadores!$I$5:$I$17,((Pesos_Indicadores!$B$5:$B$17=$A$10)*A182+(Pesos_Indicadores!$B$5:$B$17&lt;&gt;$A$10)*Pesos_Indicadores!$G$5:$G$17*(1-A182)/(1-$B$10)),Normalizacao!$AK$5:$AK$17)/B182,""))</f>
        <v>0.880039543826945</v>
      </c>
      <c r="F182" s="17" t="str">
        <f aca="false">IF(C182="","",IF(INDEX(C182:E182,$B$5)&gt;=MAX(C182:E182),$B$4,INDEX(Pontuacao!$A$29:$A$31,MATCH(MAX(C182:E182),C182:E182,0))))</f>
        <v>Microsoft Azure</v>
      </c>
      <c r="G182" s="43" t="str">
        <f aca="false">IF(OR(F182="",F182=$B$4,ABS(A182-$B$10)&lt;0.000000001),"",ABS(A182-$B$10))</f>
        <v/>
      </c>
      <c r="I182" s="60" t="n">
        <f aca="false">(ROW()-17)*$B$6</f>
        <v>0.825</v>
      </c>
      <c r="J182" s="43" t="n">
        <f aca="false">IFERROR(SUMPRODUCT(Normalizacao!$AL$5:$AL$17,Pesos_Indicadores!$I$5:$I$17,((Pesos_Indicadores!$B$5:$B$17=$A$11)*I182+(Pesos_Indicadores!$B$5:$B$17&lt;&gt;$A$11)*Pesos_Indicadores!$G$5:$G$17*(1-I182)/(1-$B$11))),0)</f>
        <v>0.809615384615385</v>
      </c>
      <c r="K182" s="60" t="n">
        <f aca="false">IF(J182=0,"",IFERROR(SUMPRODUCT(Normalizacao!$AL$5:$AL$17,Pesos_Indicadores!$I$5:$I$17,((Pesos_Indicadores!$B$5:$B$17=$A$11)*I182+(Pesos_Indicadores!$B$5:$B$17&lt;&gt;$A$11)*Pesos_Indicadores!$G$5:$G$17*(1-I182)/(1-$B$11)),Normalizacao!$AI$5:$AI$17)/J182,""))</f>
        <v>0.825828194556928</v>
      </c>
      <c r="L182" s="60" t="n">
        <f aca="false">IF(J182=0,"",IFERROR(SUMPRODUCT(Normalizacao!$AL$5:$AL$17,Pesos_Indicadores!$I$5:$I$17,((Pesos_Indicadores!$B$5:$B$17=$A$11)*I182+(Pesos_Indicadores!$B$5:$B$17&lt;&gt;$A$11)*Pesos_Indicadores!$G$5:$G$17*(1-I182)/(1-$B$11)),Normalizacao!$AJ$5:$AJ$17)/J182,""))</f>
        <v>0.831369810492616</v>
      </c>
      <c r="M182" s="60" t="n">
        <f aca="false">IF(J182=0,"",IFERROR(SUMPRODUCT(Normalizacao!$AL$5:$AL$17,Pesos_Indicadores!$I$5:$I$17,((Pesos_Indicadores!$B$5:$B$17=$A$11)*I182+(Pesos_Indicadores!$B$5:$B$17&lt;&gt;$A$11)*Pesos_Indicadores!$G$5:$G$17*(1-I182)/(1-$B$11)),Normalizacao!$AK$5:$AK$17)/J182,""))</f>
        <v>0.84336139299797</v>
      </c>
      <c r="N182" s="17" t="str">
        <f aca="false">IF(K182="","",IF(INDEX(K182:M182,$B$5)&gt;=MAX(K182:M182),$B$4,INDEX(Pontuacao!$A$29:$A$31,MATCH(MAX(K182:M182),K182:M182,0))))</f>
        <v>Microsoft Azure</v>
      </c>
      <c r="O182" s="43" t="str">
        <f aca="false">IF(OR(N182="",N182=$B$4,ABS(I182-$B$11)&lt;0.000000001),"",ABS(I182-$B$11))</f>
        <v/>
      </c>
      <c r="Q182" s="60" t="n">
        <f aca="false">(ROW()-17)*$B$6</f>
        <v>0.825</v>
      </c>
      <c r="R182" s="43" t="n">
        <f aca="false">IFERROR(SUMPRODUCT(Normalizacao!$AL$5:$AL$17,Pesos_Indicadores!$I$5:$I$17,((Pesos_Indicadores!$B$5:$B$17=$A$12)*Q182+(Pesos_Indicadores!$B$5:$B$17&lt;&gt;$A$12)*Pesos_Indicadores!$G$5:$G$17*(1-Q182)/(1-$B$12))),0)</f>
        <v>0.979807692307692</v>
      </c>
      <c r="S182" s="60" t="n">
        <f aca="false">IF(R182=0,"",IFERROR(SUMPRODUCT(Normalizacao!$AL$5:$AL$17,Pesos_Indicadores!$I$5:$I$17,((Pesos_Indicadores!$B$5:$B$17=$A$12)*Q182+(Pesos_Indicadores!$B$5:$B$17&lt;&gt;$A$12)*Pesos_Indicadores!$G$5:$G$17*(1-Q182)/(1-$B$12)),Normalizacao!$AI$5:$AI$17)/R182,""))</f>
        <v>0.746306868581617</v>
      </c>
      <c r="T182" s="60" t="n">
        <f aca="false">IF(R182=0,"",IFERROR(SUMPRODUCT(Normalizacao!$AL$5:$AL$17,Pesos_Indicadores!$I$5:$I$17,((Pesos_Indicadores!$B$5:$B$17=$A$12)*Q182+(Pesos_Indicadores!$B$5:$B$17&lt;&gt;$A$12)*Pesos_Indicadores!$G$5:$G$17*(1-Q182)/(1-$B$12)),Normalizacao!$AJ$5:$AJ$17)/R182,""))</f>
        <v>0.769202062977343</v>
      </c>
      <c r="U182" s="60" t="n">
        <f aca="false">IF(R182=0,"",IFERROR(SUMPRODUCT(Normalizacao!$AL$5:$AL$17,Pesos_Indicadores!$I$5:$I$17,((Pesos_Indicadores!$B$5:$B$17=$A$12)*Q182+(Pesos_Indicadores!$B$5:$B$17&lt;&gt;$A$12)*Pesos_Indicadores!$G$5:$G$17*(1-Q182)/(1-$B$12)),Normalizacao!$AK$5:$AK$17)/R182,""))</f>
        <v>0.822278587647774</v>
      </c>
      <c r="V182" s="17" t="str">
        <f aca="false">IF(S182="","",IF(INDEX(S182:U182,$B$5)&gt;=MAX(S182:U182),$B$4,INDEX(Pontuacao!$A$29:$A$31,MATCH(MAX(S182:U182),S182:U182,0))))</f>
        <v>Microsoft Azure</v>
      </c>
      <c r="W182" s="43" t="str">
        <f aca="false">IF(OR(V182="",V182=$B$4,ABS(Q182-$B$12)&lt;0.000000001),"",ABS(Q182-$B$12))</f>
        <v/>
      </c>
    </row>
    <row r="183" customFormat="false" ht="15" hidden="false" customHeight="true" outlineLevel="0" collapsed="false">
      <c r="A183" s="60" t="n">
        <f aca="false">(ROW()-17)*$B$6</f>
        <v>0.83</v>
      </c>
      <c r="B183" s="43" t="n">
        <f aca="false">IFERROR(SUMPRODUCT(Normalizacao!$AL$5:$AL$17,Pesos_Indicadores!$I$5:$I$17,((Pesos_Indicadores!$B$5:$B$17=$A$10)*A183+(Pesos_Indicadores!$B$5:$B$17&lt;&gt;$A$10)*Pesos_Indicadores!$G$5:$G$17*(1-A183)/(1-$B$10))),0)</f>
        <v>0.996076923076923</v>
      </c>
      <c r="C183" s="60" t="n">
        <f aca="false">IF(B183=0,"",IFERROR(SUMPRODUCT(Normalizacao!$AL$5:$AL$17,Pesos_Indicadores!$I$5:$I$17,((Pesos_Indicadores!$B$5:$B$17=$A$10)*A183+(Pesos_Indicadores!$B$5:$B$17&lt;&gt;$A$10)*Pesos_Indicadores!$G$5:$G$17*(1-A183)/(1-$B$10)),Normalizacao!$AI$5:$AI$17)/B183,""))</f>
        <v>0.652755427780133</v>
      </c>
      <c r="D183" s="60" t="n">
        <f aca="false">IF(B183=0,"",IFERROR(SUMPRODUCT(Normalizacao!$AL$5:$AL$17,Pesos_Indicadores!$I$5:$I$17,((Pesos_Indicadores!$B$5:$B$17=$A$10)*A183+(Pesos_Indicadores!$B$5:$B$17&lt;&gt;$A$10)*Pesos_Indicadores!$G$5:$G$17*(1-A183)/(1-$B$10)),Normalizacao!$AJ$5:$AJ$17)/B183,""))</f>
        <v>0.866385477139413</v>
      </c>
      <c r="E183" s="60" t="n">
        <f aca="false">IF(B183=0,"",IFERROR(SUMPRODUCT(Normalizacao!$AL$5:$AL$17,Pesos_Indicadores!$I$5:$I$17,((Pesos_Indicadores!$B$5:$B$17=$A$10)*A183+(Pesos_Indicadores!$B$5:$B$17&lt;&gt;$A$10)*Pesos_Indicadores!$G$5:$G$17*(1-A183)/(1-$B$10)),Normalizacao!$AK$5:$AK$17)/B183,""))</f>
        <v>0.880423620398954</v>
      </c>
      <c r="F183" s="17" t="str">
        <f aca="false">IF(C183="","",IF(INDEX(C183:E183,$B$5)&gt;=MAX(C183:E183),$B$4,INDEX(Pontuacao!$A$29:$A$31,MATCH(MAX(C183:E183),C183:E183,0))))</f>
        <v>Microsoft Azure</v>
      </c>
      <c r="G183" s="43" t="str">
        <f aca="false">IF(OR(F183="",F183=$B$4,ABS(A183-$B$10)&lt;0.000000001),"",ABS(A183-$B$10))</f>
        <v/>
      </c>
      <c r="I183" s="60" t="n">
        <f aca="false">(ROW()-17)*$B$6</f>
        <v>0.83</v>
      </c>
      <c r="J183" s="43" t="n">
        <f aca="false">IFERROR(SUMPRODUCT(Normalizacao!$AL$5:$AL$17,Pesos_Indicadores!$I$5:$I$17,((Pesos_Indicadores!$B$5:$B$17=$A$11)*I183+(Pesos_Indicadores!$B$5:$B$17&lt;&gt;$A$11)*Pesos_Indicadores!$G$5:$G$17*(1-I183)/(1-$B$11))),0)</f>
        <v>0.808461538461539</v>
      </c>
      <c r="K183" s="60" t="n">
        <f aca="false">IF(J183=0,"",IFERROR(SUMPRODUCT(Normalizacao!$AL$5:$AL$17,Pesos_Indicadores!$I$5:$I$17,((Pesos_Indicadores!$B$5:$B$17=$A$11)*I183+(Pesos_Indicadores!$B$5:$B$17&lt;&gt;$A$11)*Pesos_Indicadores!$G$5:$G$17*(1-I183)/(1-$B$11)),Normalizacao!$AI$5:$AI$17)/J183,""))</f>
        <v>0.826485304940048</v>
      </c>
      <c r="L183" s="60" t="n">
        <f aca="false">IF(J183=0,"",IFERROR(SUMPRODUCT(Normalizacao!$AL$5:$AL$17,Pesos_Indicadores!$I$5:$I$17,((Pesos_Indicadores!$B$5:$B$17=$A$11)*I183+(Pesos_Indicadores!$B$5:$B$17&lt;&gt;$A$11)*Pesos_Indicadores!$G$5:$G$17*(1-I183)/(1-$B$11)),Normalizacao!$AJ$5:$AJ$17)/J183,""))</f>
        <v>0.83187627208042</v>
      </c>
      <c r="M183" s="60" t="n">
        <f aca="false">IF(J183=0,"",IFERROR(SUMPRODUCT(Normalizacao!$AL$5:$AL$17,Pesos_Indicadores!$I$5:$I$17,((Pesos_Indicadores!$B$5:$B$17=$A$11)*I183+(Pesos_Indicadores!$B$5:$B$17&lt;&gt;$A$11)*Pesos_Indicadores!$G$5:$G$17*(1-I183)/(1-$B$11)),Normalizacao!$AK$5:$AK$17)/J183,""))</f>
        <v>0.843532075912158</v>
      </c>
      <c r="N183" s="17" t="str">
        <f aca="false">IF(K183="","",IF(INDEX(K183:M183,$B$5)&gt;=MAX(K183:M183),$B$4,INDEX(Pontuacao!$A$29:$A$31,MATCH(MAX(K183:M183),K183:M183,0))))</f>
        <v>Microsoft Azure</v>
      </c>
      <c r="O183" s="43" t="str">
        <f aca="false">IF(OR(N183="",N183=$B$4,ABS(I183-$B$11)&lt;0.000000001),"",ABS(I183-$B$11))</f>
        <v/>
      </c>
      <c r="Q183" s="60" t="n">
        <f aca="false">(ROW()-17)*$B$6</f>
        <v>0.83</v>
      </c>
      <c r="R183" s="43" t="n">
        <f aca="false">IFERROR(SUMPRODUCT(Normalizacao!$AL$5:$AL$17,Pesos_Indicadores!$I$5:$I$17,((Pesos_Indicadores!$B$5:$B$17=$A$12)*Q183+(Pesos_Indicadores!$B$5:$B$17&lt;&gt;$A$12)*Pesos_Indicadores!$G$5:$G$17*(1-Q183)/(1-$B$12))),0)</f>
        <v>0.980384615384615</v>
      </c>
      <c r="S183" s="60" t="n">
        <f aca="false">IF(R183=0,"",IFERROR(SUMPRODUCT(Normalizacao!$AL$5:$AL$17,Pesos_Indicadores!$I$5:$I$17,((Pesos_Indicadores!$B$5:$B$17=$A$12)*Q183+(Pesos_Indicadores!$B$5:$B$17&lt;&gt;$A$12)*Pesos_Indicadores!$G$5:$G$17*(1-Q183)/(1-$B$12)),Normalizacao!$AI$5:$AI$17)/R183,""))</f>
        <v>0.74641449781087</v>
      </c>
      <c r="T183" s="60" t="n">
        <f aca="false">IF(R183=0,"",IFERROR(SUMPRODUCT(Normalizacao!$AL$5:$AL$17,Pesos_Indicadores!$I$5:$I$17,((Pesos_Indicadores!$B$5:$B$17=$A$12)*Q183+(Pesos_Indicadores!$B$5:$B$17&lt;&gt;$A$12)*Pesos_Indicadores!$G$5:$G$17*(1-Q183)/(1-$B$12)),Normalizacao!$AJ$5:$AJ$17)/R183,""))</f>
        <v>0.768642455694475</v>
      </c>
      <c r="U183" s="60" t="n">
        <f aca="false">IF(R183=0,"",IFERROR(SUMPRODUCT(Normalizacao!$AL$5:$AL$17,Pesos_Indicadores!$I$5:$I$17,((Pesos_Indicadores!$B$5:$B$17=$A$12)*Q183+(Pesos_Indicadores!$B$5:$B$17&lt;&gt;$A$12)*Pesos_Indicadores!$G$5:$G$17*(1-Q183)/(1-$B$12)),Normalizacao!$AK$5:$AK$17)/R183,""))</f>
        <v>0.821993609472756</v>
      </c>
      <c r="V183" s="17" t="str">
        <f aca="false">IF(S183="","",IF(INDEX(S183:U183,$B$5)&gt;=MAX(S183:U183),$B$4,INDEX(Pontuacao!$A$29:$A$31,MATCH(MAX(S183:U183),S183:U183,0))))</f>
        <v>Microsoft Azure</v>
      </c>
      <c r="W183" s="43" t="str">
        <f aca="false">IF(OR(V183="",V183=$B$4,ABS(Q183-$B$12)&lt;0.000000001),"",ABS(Q183-$B$12))</f>
        <v/>
      </c>
    </row>
    <row r="184" customFormat="false" ht="15" hidden="false" customHeight="true" outlineLevel="0" collapsed="false">
      <c r="A184" s="60" t="n">
        <f aca="false">(ROW()-17)*$B$6</f>
        <v>0.835</v>
      </c>
      <c r="B184" s="43" t="n">
        <f aca="false">IFERROR(SUMPRODUCT(Normalizacao!$AL$5:$AL$17,Pesos_Indicadores!$I$5:$I$17,((Pesos_Indicadores!$B$5:$B$17=$A$10)*A184+(Pesos_Indicadores!$B$5:$B$17&lt;&gt;$A$10)*Pesos_Indicadores!$G$5:$G$17*(1-A184)/(1-$B$10))),0)</f>
        <v>0.996192307692308</v>
      </c>
      <c r="C184" s="60" t="n">
        <f aca="false">IF(B184=0,"",IFERROR(SUMPRODUCT(Normalizacao!$AL$5:$AL$17,Pesos_Indicadores!$I$5:$I$17,((Pesos_Indicadores!$B$5:$B$17=$A$10)*A184+(Pesos_Indicadores!$B$5:$B$17&lt;&gt;$A$10)*Pesos_Indicadores!$G$5:$G$17*(1-A184)/(1-$B$10)),Normalizacao!$AI$5:$AI$17)/B184,""))</f>
        <v>0.652134432048381</v>
      </c>
      <c r="D184" s="60" t="n">
        <f aca="false">IF(B184=0,"",IFERROR(SUMPRODUCT(Normalizacao!$AL$5:$AL$17,Pesos_Indicadores!$I$5:$I$17,((Pesos_Indicadores!$B$5:$B$17=$A$10)*A184+(Pesos_Indicadores!$B$5:$B$17&lt;&gt;$A$10)*Pesos_Indicadores!$G$5:$G$17*(1-A184)/(1-$B$10)),Normalizacao!$AJ$5:$AJ$17)/B184,""))</f>
        <v>0.867026516518583</v>
      </c>
      <c r="E184" s="60" t="n">
        <f aca="false">IF(B184=0,"",IFERROR(SUMPRODUCT(Normalizacao!$AL$5:$AL$17,Pesos_Indicadores!$I$5:$I$17,((Pesos_Indicadores!$B$5:$B$17=$A$10)*A184+(Pesos_Indicadores!$B$5:$B$17&lt;&gt;$A$10)*Pesos_Indicadores!$G$5:$G$17*(1-A184)/(1-$B$10)),Normalizacao!$AK$5:$AK$17)/B184,""))</f>
        <v>0.880807607999131</v>
      </c>
      <c r="F184" s="17" t="str">
        <f aca="false">IF(C184="","",IF(INDEX(C184:E184,$B$5)&gt;=MAX(C184:E184),$B$4,INDEX(Pontuacao!$A$29:$A$31,MATCH(MAX(C184:E184),C184:E184,0))))</f>
        <v>Microsoft Azure</v>
      </c>
      <c r="G184" s="43" t="str">
        <f aca="false">IF(OR(F184="",F184=$B$4,ABS(A184-$B$10)&lt;0.000000001),"",ABS(A184-$B$10))</f>
        <v/>
      </c>
      <c r="I184" s="60" t="n">
        <f aca="false">(ROW()-17)*$B$6</f>
        <v>0.835</v>
      </c>
      <c r="J184" s="43" t="n">
        <f aca="false">IFERROR(SUMPRODUCT(Normalizacao!$AL$5:$AL$17,Pesos_Indicadores!$I$5:$I$17,((Pesos_Indicadores!$B$5:$B$17=$A$11)*I184+(Pesos_Indicadores!$B$5:$B$17&lt;&gt;$A$11)*Pesos_Indicadores!$G$5:$G$17*(1-I184)/(1-$B$11))),0)</f>
        <v>0.807307692307692</v>
      </c>
      <c r="K184" s="60" t="n">
        <f aca="false">IF(J184=0,"",IFERROR(SUMPRODUCT(Normalizacao!$AL$5:$AL$17,Pesos_Indicadores!$I$5:$I$17,((Pesos_Indicadores!$B$5:$B$17=$A$11)*I184+(Pesos_Indicadores!$B$5:$B$17&lt;&gt;$A$11)*Pesos_Indicadores!$G$5:$G$17*(1-I184)/(1-$B$11)),Normalizacao!$AI$5:$AI$17)/J184,""))</f>
        <v>0.82714429367586</v>
      </c>
      <c r="L184" s="60" t="n">
        <f aca="false">IF(J184=0,"",IFERROR(SUMPRODUCT(Normalizacao!$AL$5:$AL$17,Pesos_Indicadores!$I$5:$I$17,((Pesos_Indicadores!$B$5:$B$17=$A$11)*I184+(Pesos_Indicadores!$B$5:$B$17&lt;&gt;$A$11)*Pesos_Indicadores!$G$5:$G$17*(1-I184)/(1-$B$11)),Normalizacao!$AJ$5:$AJ$17)/J184,""))</f>
        <v>0.832384181390724</v>
      </c>
      <c r="M184" s="60" t="n">
        <f aca="false">IF(J184=0,"",IFERROR(SUMPRODUCT(Normalizacao!$AL$5:$AL$17,Pesos_Indicadores!$I$5:$I$17,((Pesos_Indicadores!$B$5:$B$17=$A$11)*I184+(Pesos_Indicadores!$B$5:$B$17&lt;&gt;$A$11)*Pesos_Indicadores!$G$5:$G$17*(1-I184)/(1-$B$11)),Normalizacao!$AK$5:$AK$17)/J184,""))</f>
        <v>0.843703246724148</v>
      </c>
      <c r="N184" s="17" t="str">
        <f aca="false">IF(K184="","",IF(INDEX(K184:M184,$B$5)&gt;=MAX(K184:M184),$B$4,INDEX(Pontuacao!$A$29:$A$31,MATCH(MAX(K184:M184),K184:M184,0))))</f>
        <v>Microsoft Azure</v>
      </c>
      <c r="O184" s="43" t="str">
        <f aca="false">IF(OR(N184="",N184=$B$4,ABS(I184-$B$11)&lt;0.000000001),"",ABS(I184-$B$11))</f>
        <v/>
      </c>
      <c r="Q184" s="60" t="n">
        <f aca="false">(ROW()-17)*$B$6</f>
        <v>0.835</v>
      </c>
      <c r="R184" s="43" t="n">
        <f aca="false">IFERROR(SUMPRODUCT(Normalizacao!$AL$5:$AL$17,Pesos_Indicadores!$I$5:$I$17,((Pesos_Indicadores!$B$5:$B$17=$A$12)*Q184+(Pesos_Indicadores!$B$5:$B$17&lt;&gt;$A$12)*Pesos_Indicadores!$G$5:$G$17*(1-Q184)/(1-$B$12))),0)</f>
        <v>0.980961538461538</v>
      </c>
      <c r="S184" s="60" t="n">
        <f aca="false">IF(R184=0,"",IFERROR(SUMPRODUCT(Normalizacao!$AL$5:$AL$17,Pesos_Indicadores!$I$5:$I$17,((Pesos_Indicadores!$B$5:$B$17=$A$12)*Q184+(Pesos_Indicadores!$B$5:$B$17&lt;&gt;$A$12)*Pesos_Indicadores!$G$5:$G$17*(1-Q184)/(1-$B$12)),Normalizacao!$AI$5:$AI$17)/R184,""))</f>
        <v>0.746522000442324</v>
      </c>
      <c r="T184" s="60" t="n">
        <f aca="false">IF(R184=0,"",IFERROR(SUMPRODUCT(Normalizacao!$AL$5:$AL$17,Pesos_Indicadores!$I$5:$I$17,((Pesos_Indicadores!$B$5:$B$17=$A$12)*Q184+(Pesos_Indicadores!$B$5:$B$17&lt;&gt;$A$12)*Pesos_Indicadores!$G$5:$G$17*(1-Q184)/(1-$B$12)),Normalizacao!$AJ$5:$AJ$17)/R184,""))</f>
        <v>0.768083506644051</v>
      </c>
      <c r="U184" s="60" t="n">
        <f aca="false">IF(R184=0,"",IFERROR(SUMPRODUCT(Normalizacao!$AL$5:$AL$17,Pesos_Indicadores!$I$5:$I$17,((Pesos_Indicadores!$B$5:$B$17=$A$12)*Q184+(Pesos_Indicadores!$B$5:$B$17&lt;&gt;$A$12)*Pesos_Indicadores!$G$5:$G$17*(1-Q184)/(1-$B$12)),Normalizacao!$AK$5:$AK$17)/R184,""))</f>
        <v>0.821708966500453</v>
      </c>
      <c r="V184" s="17" t="str">
        <f aca="false">IF(S184="","",IF(INDEX(S184:U184,$B$5)&gt;=MAX(S184:U184),$B$4,INDEX(Pontuacao!$A$29:$A$31,MATCH(MAX(S184:U184),S184:U184,0))))</f>
        <v>Microsoft Azure</v>
      </c>
      <c r="W184" s="43" t="str">
        <f aca="false">IF(OR(V184="",V184=$B$4,ABS(Q184-$B$12)&lt;0.000000001),"",ABS(Q184-$B$12))</f>
        <v/>
      </c>
    </row>
    <row r="185" customFormat="false" ht="15" hidden="false" customHeight="true" outlineLevel="0" collapsed="false">
      <c r="A185" s="60" t="n">
        <f aca="false">(ROW()-17)*$B$6</f>
        <v>0.84</v>
      </c>
      <c r="B185" s="43" t="n">
        <f aca="false">IFERROR(SUMPRODUCT(Normalizacao!$AL$5:$AL$17,Pesos_Indicadores!$I$5:$I$17,((Pesos_Indicadores!$B$5:$B$17=$A$10)*A185+(Pesos_Indicadores!$B$5:$B$17&lt;&gt;$A$10)*Pesos_Indicadores!$G$5:$G$17*(1-A185)/(1-$B$10))),0)</f>
        <v>0.996307692307692</v>
      </c>
      <c r="C185" s="60" t="n">
        <f aca="false">IF(B185=0,"",IFERROR(SUMPRODUCT(Normalizacao!$AL$5:$AL$17,Pesos_Indicadores!$I$5:$I$17,((Pesos_Indicadores!$B$5:$B$17=$A$10)*A185+(Pesos_Indicadores!$B$5:$B$17&lt;&gt;$A$10)*Pesos_Indicadores!$G$5:$G$17*(1-A185)/(1-$B$10)),Normalizacao!$AI$5:$AI$17)/B185,""))</f>
        <v>0.651513580154431</v>
      </c>
      <c r="D185" s="60" t="n">
        <f aca="false">IF(B185=0,"",IFERROR(SUMPRODUCT(Normalizacao!$AL$5:$AL$17,Pesos_Indicadores!$I$5:$I$17,((Pesos_Indicadores!$B$5:$B$17=$A$10)*A185+(Pesos_Indicadores!$B$5:$B$17&lt;&gt;$A$10)*Pesos_Indicadores!$G$5:$G$17*(1-A185)/(1-$B$10)),Normalizacao!$AJ$5:$AJ$17)/B185,""))</f>
        <v>0.867667407417354</v>
      </c>
      <c r="E185" s="60" t="n">
        <f aca="false">IF(B185=0,"",IFERROR(SUMPRODUCT(Normalizacao!$AL$5:$AL$17,Pesos_Indicadores!$I$5:$I$17,((Pesos_Indicadores!$B$5:$B$17=$A$10)*A185+(Pesos_Indicadores!$B$5:$B$17&lt;&gt;$A$10)*Pesos_Indicadores!$G$5:$G$17*(1-A185)/(1-$B$10)),Normalizacao!$AK$5:$AK$17)/B185,""))</f>
        <v>0.881191506658387</v>
      </c>
      <c r="F185" s="17" t="str">
        <f aca="false">IF(C185="","",IF(INDEX(C185:E185,$B$5)&gt;=MAX(C185:E185),$B$4,INDEX(Pontuacao!$A$29:$A$31,MATCH(MAX(C185:E185),C185:E185,0))))</f>
        <v>Microsoft Azure</v>
      </c>
      <c r="G185" s="43" t="str">
        <f aca="false">IF(OR(F185="",F185=$B$4,ABS(A185-$B$10)&lt;0.000000001),"",ABS(A185-$B$10))</f>
        <v/>
      </c>
      <c r="I185" s="60" t="n">
        <f aca="false">(ROW()-17)*$B$6</f>
        <v>0.84</v>
      </c>
      <c r="J185" s="43" t="n">
        <f aca="false">IFERROR(SUMPRODUCT(Normalizacao!$AL$5:$AL$17,Pesos_Indicadores!$I$5:$I$17,((Pesos_Indicadores!$B$5:$B$17=$A$11)*I185+(Pesos_Indicadores!$B$5:$B$17&lt;&gt;$A$11)*Pesos_Indicadores!$G$5:$G$17*(1-I185)/(1-$B$11))),0)</f>
        <v>0.806153846153846</v>
      </c>
      <c r="K185" s="60" t="n">
        <f aca="false">IF(J185=0,"",IFERROR(SUMPRODUCT(Normalizacao!$AL$5:$AL$17,Pesos_Indicadores!$I$5:$I$17,((Pesos_Indicadores!$B$5:$B$17=$A$11)*I185+(Pesos_Indicadores!$B$5:$B$17&lt;&gt;$A$11)*Pesos_Indicadores!$G$5:$G$17*(1-I185)/(1-$B$11)),Normalizacao!$AI$5:$AI$17)/J185,""))</f>
        <v>0.827805168829808</v>
      </c>
      <c r="L185" s="60" t="n">
        <f aca="false">IF(J185=0,"",IFERROR(SUMPRODUCT(Normalizacao!$AL$5:$AL$17,Pesos_Indicadores!$I$5:$I$17,((Pesos_Indicadores!$B$5:$B$17=$A$11)*I185+(Pesos_Indicadores!$B$5:$B$17&lt;&gt;$A$11)*Pesos_Indicadores!$G$5:$G$17*(1-I185)/(1-$B$11)),Normalizacao!$AJ$5:$AJ$17)/J185,""))</f>
        <v>0.832893544639894</v>
      </c>
      <c r="M185" s="60" t="n">
        <f aca="false">IF(J185=0,"",IFERROR(SUMPRODUCT(Normalizacao!$AL$5:$AL$17,Pesos_Indicadores!$I$5:$I$17,((Pesos_Indicadores!$B$5:$B$17=$A$11)*I185+(Pesos_Indicadores!$B$5:$B$17&lt;&gt;$A$11)*Pesos_Indicadores!$G$5:$G$17*(1-I185)/(1-$B$11)),Normalizacao!$AK$5:$AK$17)/J185,""))</f>
        <v>0.843874907528921</v>
      </c>
      <c r="N185" s="17" t="str">
        <f aca="false">IF(K185="","",IF(INDEX(K185:M185,$B$5)&gt;=MAX(K185:M185),$B$4,INDEX(Pontuacao!$A$29:$A$31,MATCH(MAX(K185:M185),K185:M185,0))))</f>
        <v>Microsoft Azure</v>
      </c>
      <c r="O185" s="43" t="str">
        <f aca="false">IF(OR(N185="",N185=$B$4,ABS(I185-$B$11)&lt;0.000000001),"",ABS(I185-$B$11))</f>
        <v/>
      </c>
      <c r="Q185" s="60" t="n">
        <f aca="false">(ROW()-17)*$B$6</f>
        <v>0.84</v>
      </c>
      <c r="R185" s="43" t="n">
        <f aca="false">IFERROR(SUMPRODUCT(Normalizacao!$AL$5:$AL$17,Pesos_Indicadores!$I$5:$I$17,((Pesos_Indicadores!$B$5:$B$17=$A$12)*Q185+(Pesos_Indicadores!$B$5:$B$17&lt;&gt;$A$12)*Pesos_Indicadores!$G$5:$G$17*(1-Q185)/(1-$B$12))),0)</f>
        <v>0.981538461538462</v>
      </c>
      <c r="S185" s="60" t="n">
        <f aca="false">IF(R185=0,"",IFERROR(SUMPRODUCT(Normalizacao!$AL$5:$AL$17,Pesos_Indicadores!$I$5:$I$17,((Pesos_Indicadores!$B$5:$B$17=$A$12)*Q185+(Pesos_Indicadores!$B$5:$B$17&lt;&gt;$A$12)*Pesos_Indicadores!$G$5:$G$17*(1-Q185)/(1-$B$12)),Normalizacao!$AI$5:$AI$17)/R185,""))</f>
        <v>0.74662937669921</v>
      </c>
      <c r="T185" s="60" t="n">
        <f aca="false">IF(R185=0,"",IFERROR(SUMPRODUCT(Normalizacao!$AL$5:$AL$17,Pesos_Indicadores!$I$5:$I$17,((Pesos_Indicadores!$B$5:$B$17=$A$12)*Q185+(Pesos_Indicadores!$B$5:$B$17&lt;&gt;$A$12)*Pesos_Indicadores!$G$5:$G$17*(1-Q185)/(1-$B$12)),Normalizacao!$AJ$5:$AJ$17)/R185,""))</f>
        <v>0.767525214665395</v>
      </c>
      <c r="U185" s="60" t="n">
        <f aca="false">IF(R185=0,"",IFERROR(SUMPRODUCT(Normalizacao!$AL$5:$AL$17,Pesos_Indicadores!$I$5:$I$17,((Pesos_Indicadores!$B$5:$B$17=$A$12)*Q185+(Pesos_Indicadores!$B$5:$B$17&lt;&gt;$A$12)*Pesos_Indicadores!$G$5:$G$17*(1-Q185)/(1-$B$12)),Normalizacao!$AK$5:$AK$17)/R185,""))</f>
        <v>0.821424658139795</v>
      </c>
      <c r="V185" s="17" t="str">
        <f aca="false">IF(S185="","",IF(INDEX(S185:U185,$B$5)&gt;=MAX(S185:U185),$B$4,INDEX(Pontuacao!$A$29:$A$31,MATCH(MAX(S185:U185),S185:U185,0))))</f>
        <v>Microsoft Azure</v>
      </c>
      <c r="W185" s="43" t="str">
        <f aca="false">IF(OR(V185="",V185=$B$4,ABS(Q185-$B$12)&lt;0.000000001),"",ABS(Q185-$B$12))</f>
        <v/>
      </c>
    </row>
    <row r="186" customFormat="false" ht="15" hidden="false" customHeight="true" outlineLevel="0" collapsed="false">
      <c r="A186" s="60" t="n">
        <f aca="false">(ROW()-17)*$B$6</f>
        <v>0.845</v>
      </c>
      <c r="B186" s="43" t="n">
        <f aca="false">IFERROR(SUMPRODUCT(Normalizacao!$AL$5:$AL$17,Pesos_Indicadores!$I$5:$I$17,((Pesos_Indicadores!$B$5:$B$17=$A$10)*A186+(Pesos_Indicadores!$B$5:$B$17&lt;&gt;$A$10)*Pesos_Indicadores!$G$5:$G$17*(1-A186)/(1-$B$10))),0)</f>
        <v>0.996423076923077</v>
      </c>
      <c r="C186" s="60" t="n">
        <f aca="false">IF(B186=0,"",IFERROR(SUMPRODUCT(Normalizacao!$AL$5:$AL$17,Pesos_Indicadores!$I$5:$I$17,((Pesos_Indicadores!$B$5:$B$17=$A$10)*A186+(Pesos_Indicadores!$B$5:$B$17&lt;&gt;$A$10)*Pesos_Indicadores!$G$5:$G$17*(1-A186)/(1-$B$10)),Normalizacao!$AI$5:$AI$17)/B186,""))</f>
        <v>0.650892872048312</v>
      </c>
      <c r="D186" s="60" t="n">
        <f aca="false">IF(B186=0,"",IFERROR(SUMPRODUCT(Normalizacao!$AL$5:$AL$17,Pesos_Indicadores!$I$5:$I$17,((Pesos_Indicadores!$B$5:$B$17=$A$10)*A186+(Pesos_Indicadores!$B$5:$B$17&lt;&gt;$A$10)*Pesos_Indicadores!$G$5:$G$17*(1-A186)/(1-$B$10)),Normalizacao!$AJ$5:$AJ$17)/B186,""))</f>
        <v>0.868308149887306</v>
      </c>
      <c r="E186" s="60" t="n">
        <f aca="false">IF(B186=0,"",IFERROR(SUMPRODUCT(Normalizacao!$AL$5:$AL$17,Pesos_Indicadores!$I$5:$I$17,((Pesos_Indicadores!$B$5:$B$17=$A$10)*A186+(Pesos_Indicadores!$B$5:$B$17&lt;&gt;$A$10)*Pesos_Indicadores!$G$5:$G$17*(1-A186)/(1-$B$10)),Normalizacao!$AK$5:$AK$17)/B186,""))</f>
        <v>0.88157531640762</v>
      </c>
      <c r="F186" s="17" t="str">
        <f aca="false">IF(C186="","",IF(INDEX(C186:E186,$B$5)&gt;=MAX(C186:E186),$B$4,INDEX(Pontuacao!$A$29:$A$31,MATCH(MAX(C186:E186),C186:E186,0))))</f>
        <v>Microsoft Azure</v>
      </c>
      <c r="G186" s="43" t="str">
        <f aca="false">IF(OR(F186="",F186=$B$4,ABS(A186-$B$10)&lt;0.000000001),"",ABS(A186-$B$10))</f>
        <v/>
      </c>
      <c r="I186" s="60" t="n">
        <f aca="false">(ROW()-17)*$B$6</f>
        <v>0.845</v>
      </c>
      <c r="J186" s="43" t="n">
        <f aca="false">IFERROR(SUMPRODUCT(Normalizacao!$AL$5:$AL$17,Pesos_Indicadores!$I$5:$I$17,((Pesos_Indicadores!$B$5:$B$17=$A$11)*I186+(Pesos_Indicadores!$B$5:$B$17&lt;&gt;$A$11)*Pesos_Indicadores!$G$5:$G$17*(1-I186)/(1-$B$11))),0)</f>
        <v>0.805</v>
      </c>
      <c r="K186" s="60" t="n">
        <f aca="false">IF(J186=0,"",IFERROR(SUMPRODUCT(Normalizacao!$AL$5:$AL$17,Pesos_Indicadores!$I$5:$I$17,((Pesos_Indicadores!$B$5:$B$17=$A$11)*I186+(Pesos_Indicadores!$B$5:$B$17&lt;&gt;$A$11)*Pesos_Indicadores!$G$5:$G$17*(1-I186)/(1-$B$11)),Normalizacao!$AI$5:$AI$17)/J186,""))</f>
        <v>0.828467938513581</v>
      </c>
      <c r="L186" s="60" t="n">
        <f aca="false">IF(J186=0,"",IFERROR(SUMPRODUCT(Normalizacao!$AL$5:$AL$17,Pesos_Indicadores!$I$5:$I$17,((Pesos_Indicadores!$B$5:$B$17=$A$11)*I186+(Pesos_Indicadores!$B$5:$B$17&lt;&gt;$A$11)*Pesos_Indicadores!$G$5:$G$17*(1-I186)/(1-$B$11)),Normalizacao!$AJ$5:$AJ$17)/J186,""))</f>
        <v>0.833404368079935</v>
      </c>
      <c r="M186" s="60" t="n">
        <f aca="false">IF(J186=0,"",IFERROR(SUMPRODUCT(Normalizacao!$AL$5:$AL$17,Pesos_Indicadores!$I$5:$I$17,((Pesos_Indicadores!$B$5:$B$17=$A$11)*I186+(Pesos_Indicadores!$B$5:$B$17&lt;&gt;$A$11)*Pesos_Indicadores!$G$5:$G$17*(1-I186)/(1-$B$11)),Normalizacao!$AK$5:$AK$17)/J186,""))</f>
        <v>0.844047060433468</v>
      </c>
      <c r="N186" s="17" t="str">
        <f aca="false">IF(K186="","",IF(INDEX(K186:M186,$B$5)&gt;=MAX(K186:M186),$B$4,INDEX(Pontuacao!$A$29:$A$31,MATCH(MAX(K186:M186),K186:M186,0))))</f>
        <v>Microsoft Azure</v>
      </c>
      <c r="O186" s="43" t="str">
        <f aca="false">IF(OR(N186="",N186=$B$4,ABS(I186-$B$11)&lt;0.000000001),"",ABS(I186-$B$11))</f>
        <v/>
      </c>
      <c r="Q186" s="60" t="n">
        <f aca="false">(ROW()-17)*$B$6</f>
        <v>0.845</v>
      </c>
      <c r="R186" s="43" t="n">
        <f aca="false">IFERROR(SUMPRODUCT(Normalizacao!$AL$5:$AL$17,Pesos_Indicadores!$I$5:$I$17,((Pesos_Indicadores!$B$5:$B$17=$A$12)*Q186+(Pesos_Indicadores!$B$5:$B$17&lt;&gt;$A$12)*Pesos_Indicadores!$G$5:$G$17*(1-Q186)/(1-$B$12))),0)</f>
        <v>0.982115384615385</v>
      </c>
      <c r="S186" s="60" t="n">
        <f aca="false">IF(R186=0,"",IFERROR(SUMPRODUCT(Normalizacao!$AL$5:$AL$17,Pesos_Indicadores!$I$5:$I$17,((Pesos_Indicadores!$B$5:$B$17=$A$12)*Q186+(Pesos_Indicadores!$B$5:$B$17&lt;&gt;$A$12)*Pesos_Indicadores!$G$5:$G$17*(1-Q186)/(1-$B$12)),Normalizacao!$AI$5:$AI$17)/R186,""))</f>
        <v>0.746736626804238</v>
      </c>
      <c r="T186" s="60" t="n">
        <f aca="false">IF(R186=0,"",IFERROR(SUMPRODUCT(Normalizacao!$AL$5:$AL$17,Pesos_Indicadores!$I$5:$I$17,((Pesos_Indicadores!$B$5:$B$17=$A$12)*Q186+(Pesos_Indicadores!$B$5:$B$17&lt;&gt;$A$12)*Pesos_Indicadores!$G$5:$G$17*(1-Q186)/(1-$B$12)),Normalizacao!$AJ$5:$AJ$17)/R186,""))</f>
        <v>0.766967578600557</v>
      </c>
      <c r="U186" s="60" t="n">
        <f aca="false">IF(R186=0,"",IFERROR(SUMPRODUCT(Normalizacao!$AL$5:$AL$17,Pesos_Indicadores!$I$5:$I$17,((Pesos_Indicadores!$B$5:$B$17=$A$12)*Q186+(Pesos_Indicadores!$B$5:$B$17&lt;&gt;$A$12)*Pesos_Indicadores!$G$5:$G$17*(1-Q186)/(1-$B$12)),Normalizacao!$AK$5:$AK$17)/R186,""))</f>
        <v>0.8211406838011</v>
      </c>
      <c r="V186" s="17" t="str">
        <f aca="false">IF(S186="","",IF(INDEX(S186:U186,$B$5)&gt;=MAX(S186:U186),$B$4,INDEX(Pontuacao!$A$29:$A$31,MATCH(MAX(S186:U186),S186:U186,0))))</f>
        <v>Microsoft Azure</v>
      </c>
      <c r="W186" s="43" t="str">
        <f aca="false">IF(OR(V186="",V186=$B$4,ABS(Q186-$B$12)&lt;0.000000001),"",ABS(Q186-$B$12))</f>
        <v/>
      </c>
    </row>
    <row r="187" customFormat="false" ht="15" hidden="false" customHeight="true" outlineLevel="0" collapsed="false">
      <c r="A187" s="60" t="n">
        <f aca="false">(ROW()-17)*$B$6</f>
        <v>0.85</v>
      </c>
      <c r="B187" s="43" t="n">
        <f aca="false">IFERROR(SUMPRODUCT(Normalizacao!$AL$5:$AL$17,Pesos_Indicadores!$I$5:$I$17,((Pesos_Indicadores!$B$5:$B$17=$A$10)*A187+(Pesos_Indicadores!$B$5:$B$17&lt;&gt;$A$10)*Pesos_Indicadores!$G$5:$G$17*(1-A187)/(1-$B$10))),0)</f>
        <v>0.996538461538462</v>
      </c>
      <c r="C187" s="60" t="n">
        <f aca="false">IF(B187=0,"",IFERROR(SUMPRODUCT(Normalizacao!$AL$5:$AL$17,Pesos_Indicadores!$I$5:$I$17,((Pesos_Indicadores!$B$5:$B$17=$A$10)*A187+(Pesos_Indicadores!$B$5:$B$17&lt;&gt;$A$10)*Pesos_Indicadores!$G$5:$G$17*(1-A187)/(1-$B$10)),Normalizacao!$AI$5:$AI$17)/B187,""))</f>
        <v>0.650272307680079</v>
      </c>
      <c r="D187" s="60" t="n">
        <f aca="false">IF(B187=0,"",IFERROR(SUMPRODUCT(Normalizacao!$AL$5:$AL$17,Pesos_Indicadores!$I$5:$I$17,((Pesos_Indicadores!$B$5:$B$17=$A$10)*A187+(Pesos_Indicadores!$B$5:$B$17&lt;&gt;$A$10)*Pesos_Indicadores!$G$5:$G$17*(1-A187)/(1-$B$10)),Normalizacao!$AJ$5:$AJ$17)/B187,""))</f>
        <v>0.868948743979998</v>
      </c>
      <c r="E187" s="60" t="n">
        <f aca="false">IF(B187=0,"",IFERROR(SUMPRODUCT(Normalizacao!$AL$5:$AL$17,Pesos_Indicadores!$I$5:$I$17,((Pesos_Indicadores!$B$5:$B$17=$A$10)*A187+(Pesos_Indicadores!$B$5:$B$17&lt;&gt;$A$10)*Pesos_Indicadores!$G$5:$G$17*(1-A187)/(1-$B$10)),Normalizacao!$AK$5:$AK$17)/B187,""))</f>
        <v>0.881959037277715</v>
      </c>
      <c r="F187" s="17" t="str">
        <f aca="false">IF(C187="","",IF(INDEX(C187:E187,$B$5)&gt;=MAX(C187:E187),$B$4,INDEX(Pontuacao!$A$29:$A$31,MATCH(MAX(C187:E187),C187:E187,0))))</f>
        <v>Microsoft Azure</v>
      </c>
      <c r="G187" s="43" t="str">
        <f aca="false">IF(OR(F187="",F187=$B$4,ABS(A187-$B$10)&lt;0.000000001),"",ABS(A187-$B$10))</f>
        <v/>
      </c>
      <c r="I187" s="60" t="n">
        <f aca="false">(ROW()-17)*$B$6</f>
        <v>0.85</v>
      </c>
      <c r="J187" s="43" t="n">
        <f aca="false">IFERROR(SUMPRODUCT(Normalizacao!$AL$5:$AL$17,Pesos_Indicadores!$I$5:$I$17,((Pesos_Indicadores!$B$5:$B$17=$A$11)*I187+(Pesos_Indicadores!$B$5:$B$17&lt;&gt;$A$11)*Pesos_Indicadores!$G$5:$G$17*(1-I187)/(1-$B$11))),0)</f>
        <v>0.803846153846154</v>
      </c>
      <c r="K187" s="60" t="n">
        <f aca="false">IF(J187=0,"",IFERROR(SUMPRODUCT(Normalizacao!$AL$5:$AL$17,Pesos_Indicadores!$I$5:$I$17,((Pesos_Indicadores!$B$5:$B$17=$A$11)*I187+(Pesos_Indicadores!$B$5:$B$17&lt;&gt;$A$11)*Pesos_Indicadores!$G$5:$G$17*(1-I187)/(1-$B$11)),Normalizacao!$AI$5:$AI$17)/J187,""))</f>
        <v>0.829132610885441</v>
      </c>
      <c r="L187" s="60" t="n">
        <f aca="false">IF(J187=0,"",IFERROR(SUMPRODUCT(Normalizacao!$AL$5:$AL$17,Pesos_Indicadores!$I$5:$I$17,((Pesos_Indicadores!$B$5:$B$17=$A$11)*I187+(Pesos_Indicadores!$B$5:$B$17&lt;&gt;$A$11)*Pesos_Indicadores!$G$5:$G$17*(1-I187)/(1-$B$11)),Normalizacao!$AJ$5:$AJ$17)/J187,""))</f>
        <v>0.833916657998752</v>
      </c>
      <c r="M187" s="60" t="n">
        <f aca="false">IF(J187=0,"",IFERROR(SUMPRODUCT(Normalizacao!$AL$5:$AL$17,Pesos_Indicadores!$I$5:$I$17,((Pesos_Indicadores!$B$5:$B$17=$A$11)*I187+(Pesos_Indicadores!$B$5:$B$17&lt;&gt;$A$11)*Pesos_Indicadores!$G$5:$G$17*(1-I187)/(1-$B$11)),Normalizacao!$AK$5:$AK$17)/J187,""))</f>
        <v>0.84421970755688</v>
      </c>
      <c r="N187" s="17" t="str">
        <f aca="false">IF(K187="","",IF(INDEX(K187:M187,$B$5)&gt;=MAX(K187:M187),$B$4,INDEX(Pontuacao!$A$29:$A$31,MATCH(MAX(K187:M187),K187:M187,0))))</f>
        <v>Microsoft Azure</v>
      </c>
      <c r="O187" s="43" t="str">
        <f aca="false">IF(OR(N187="",N187=$B$4,ABS(I187-$B$11)&lt;0.000000001),"",ABS(I187-$B$11))</f>
        <v/>
      </c>
      <c r="Q187" s="60" t="n">
        <f aca="false">(ROW()-17)*$B$6</f>
        <v>0.85</v>
      </c>
      <c r="R187" s="43" t="n">
        <f aca="false">IFERROR(SUMPRODUCT(Normalizacao!$AL$5:$AL$17,Pesos_Indicadores!$I$5:$I$17,((Pesos_Indicadores!$B$5:$B$17=$A$12)*Q187+(Pesos_Indicadores!$B$5:$B$17&lt;&gt;$A$12)*Pesos_Indicadores!$G$5:$G$17*(1-Q187)/(1-$B$12))),0)</f>
        <v>0.982692307692308</v>
      </c>
      <c r="S187" s="60" t="n">
        <f aca="false">IF(R187=0,"",IFERROR(SUMPRODUCT(Normalizacao!$AL$5:$AL$17,Pesos_Indicadores!$I$5:$I$17,((Pesos_Indicadores!$B$5:$B$17=$A$12)*Q187+(Pesos_Indicadores!$B$5:$B$17&lt;&gt;$A$12)*Pesos_Indicadores!$G$5:$G$17*(1-Q187)/(1-$B$12)),Normalizacao!$AI$5:$AI$17)/R187,""))</f>
        <v>0.746843750979593</v>
      </c>
      <c r="T187" s="60" t="n">
        <f aca="false">IF(R187=0,"",IFERROR(SUMPRODUCT(Normalizacao!$AL$5:$AL$17,Pesos_Indicadores!$I$5:$I$17,((Pesos_Indicadores!$B$5:$B$17=$A$12)*Q187+(Pesos_Indicadores!$B$5:$B$17&lt;&gt;$A$12)*Pesos_Indicadores!$G$5:$G$17*(1-Q187)/(1-$B$12)),Normalizacao!$AJ$5:$AJ$17)/R187,""))</f>
        <v>0.766410597294308</v>
      </c>
      <c r="U187" s="60" t="n">
        <f aca="false">IF(R187=0,"",IFERROR(SUMPRODUCT(Normalizacao!$AL$5:$AL$17,Pesos_Indicadores!$I$5:$I$17,((Pesos_Indicadores!$B$5:$B$17=$A$12)*Q187+(Pesos_Indicadores!$B$5:$B$17&lt;&gt;$A$12)*Pesos_Indicadores!$G$5:$G$17*(1-Q187)/(1-$B$12)),Normalizacao!$AK$5:$AK$17)/R187,""))</f>
        <v>0.82085704289607</v>
      </c>
      <c r="V187" s="17" t="str">
        <f aca="false">IF(S187="","",IF(INDEX(S187:U187,$B$5)&gt;=MAX(S187:U187),$B$4,INDEX(Pontuacao!$A$29:$A$31,MATCH(MAX(S187:U187),S187:U187,0))))</f>
        <v>Microsoft Azure</v>
      </c>
      <c r="W187" s="43" t="str">
        <f aca="false">IF(OR(V187="",V187=$B$4,ABS(Q187-$B$12)&lt;0.000000001),"",ABS(Q187-$B$12))</f>
        <v/>
      </c>
    </row>
    <row r="188" customFormat="false" ht="15" hidden="false" customHeight="true" outlineLevel="0" collapsed="false">
      <c r="A188" s="60" t="n">
        <f aca="false">(ROW()-17)*$B$6</f>
        <v>0.855</v>
      </c>
      <c r="B188" s="43" t="n">
        <f aca="false">IFERROR(SUMPRODUCT(Normalizacao!$AL$5:$AL$17,Pesos_Indicadores!$I$5:$I$17,((Pesos_Indicadores!$B$5:$B$17=$A$10)*A188+(Pesos_Indicadores!$B$5:$B$17&lt;&gt;$A$10)*Pesos_Indicadores!$G$5:$G$17*(1-A188)/(1-$B$10))),0)</f>
        <v>0.996653846153846</v>
      </c>
      <c r="C188" s="60" t="n">
        <f aca="false">IF(B188=0,"",IFERROR(SUMPRODUCT(Normalizacao!$AL$5:$AL$17,Pesos_Indicadores!$I$5:$I$17,((Pesos_Indicadores!$B$5:$B$17=$A$10)*A188+(Pesos_Indicadores!$B$5:$B$17&lt;&gt;$A$10)*Pesos_Indicadores!$G$5:$G$17*(1-A188)/(1-$B$10)),Normalizacao!$AI$5:$AI$17)/B188,""))</f>
        <v>0.649651886999811</v>
      </c>
      <c r="D188" s="60" t="n">
        <f aca="false">IF(B188=0,"",IFERROR(SUMPRODUCT(Normalizacao!$AL$5:$AL$17,Pesos_Indicadores!$I$5:$I$17,((Pesos_Indicadores!$B$5:$B$17=$A$10)*A188+(Pesos_Indicadores!$B$5:$B$17&lt;&gt;$A$10)*Pesos_Indicadores!$G$5:$G$17*(1-A188)/(1-$B$10)),Normalizacao!$AJ$5:$AJ$17)/B188,""))</f>
        <v>0.869589189746963</v>
      </c>
      <c r="E188" s="60" t="n">
        <f aca="false">IF(B188=0,"",IFERROR(SUMPRODUCT(Normalizacao!$AL$5:$AL$17,Pesos_Indicadores!$I$5:$I$17,((Pesos_Indicadores!$B$5:$B$17=$A$10)*A188+(Pesos_Indicadores!$B$5:$B$17&lt;&gt;$A$10)*Pesos_Indicadores!$G$5:$G$17*(1-A188)/(1-$B$10)),Normalizacao!$AK$5:$AK$17)/B188,""))</f>
        <v>0.882342669299539</v>
      </c>
      <c r="F188" s="17" t="str">
        <f aca="false">IF(C188="","",IF(INDEX(C188:E188,$B$5)&gt;=MAX(C188:E188),$B$4,INDEX(Pontuacao!$A$29:$A$31,MATCH(MAX(C188:E188),C188:E188,0))))</f>
        <v>Microsoft Azure</v>
      </c>
      <c r="G188" s="43" t="str">
        <f aca="false">IF(OR(F188="",F188=$B$4,ABS(A188-$B$10)&lt;0.000000001),"",ABS(A188-$B$10))</f>
        <v/>
      </c>
      <c r="I188" s="60" t="n">
        <f aca="false">(ROW()-17)*$B$6</f>
        <v>0.855</v>
      </c>
      <c r="J188" s="43" t="n">
        <f aca="false">IFERROR(SUMPRODUCT(Normalizacao!$AL$5:$AL$17,Pesos_Indicadores!$I$5:$I$17,((Pesos_Indicadores!$B$5:$B$17=$A$11)*I188+(Pesos_Indicadores!$B$5:$B$17&lt;&gt;$A$11)*Pesos_Indicadores!$G$5:$G$17*(1-I188)/(1-$B$11))),0)</f>
        <v>0.802692307692308</v>
      </c>
      <c r="K188" s="60" t="n">
        <f aca="false">IF(J188=0,"",IFERROR(SUMPRODUCT(Normalizacao!$AL$5:$AL$17,Pesos_Indicadores!$I$5:$I$17,((Pesos_Indicadores!$B$5:$B$17=$A$11)*I188+(Pesos_Indicadores!$B$5:$B$17&lt;&gt;$A$11)*Pesos_Indicadores!$G$5:$G$17*(1-I188)/(1-$B$11)),Normalizacao!$AI$5:$AI$17)/J188,""))</f>
        <v>0.829799194150561</v>
      </c>
      <c r="L188" s="60" t="n">
        <f aca="false">IF(J188=0,"",IFERROR(SUMPRODUCT(Normalizacao!$AL$5:$AL$17,Pesos_Indicadores!$I$5:$I$17,((Pesos_Indicadores!$B$5:$B$17=$A$11)*I188+(Pesos_Indicadores!$B$5:$B$17&lt;&gt;$A$11)*Pesos_Indicadores!$G$5:$G$17*(1-I188)/(1-$B$11)),Normalizacao!$AJ$5:$AJ$17)/J188,""))</f>
        <v>0.834430420720402</v>
      </c>
      <c r="M188" s="60" t="n">
        <f aca="false">IF(J188=0,"",IFERROR(SUMPRODUCT(Normalizacao!$AL$5:$AL$17,Pesos_Indicadores!$I$5:$I$17,((Pesos_Indicadores!$B$5:$B$17=$A$11)*I188+(Pesos_Indicadores!$B$5:$B$17&lt;&gt;$A$11)*Pesos_Indicadores!$G$5:$G$17*(1-I188)/(1-$B$11)),Normalizacao!$AK$5:$AK$17)/J188,""))</f>
        <v>0.844392851030431</v>
      </c>
      <c r="N188" s="17" t="str">
        <f aca="false">IF(K188="","",IF(INDEX(K188:M188,$B$5)&gt;=MAX(K188:M188),$B$4,INDEX(Pontuacao!$A$29:$A$31,MATCH(MAX(K188:M188),K188:M188,0))))</f>
        <v>Microsoft Azure</v>
      </c>
      <c r="O188" s="43" t="str">
        <f aca="false">IF(OR(N188="",N188=$B$4,ABS(I188-$B$11)&lt;0.000000001),"",ABS(I188-$B$11))</f>
        <v/>
      </c>
      <c r="Q188" s="60" t="n">
        <f aca="false">(ROW()-17)*$B$6</f>
        <v>0.855</v>
      </c>
      <c r="R188" s="43" t="n">
        <f aca="false">IFERROR(SUMPRODUCT(Normalizacao!$AL$5:$AL$17,Pesos_Indicadores!$I$5:$I$17,((Pesos_Indicadores!$B$5:$B$17=$A$12)*Q188+(Pesos_Indicadores!$B$5:$B$17&lt;&gt;$A$12)*Pesos_Indicadores!$G$5:$G$17*(1-Q188)/(1-$B$12))),0)</f>
        <v>0.983269230769231</v>
      </c>
      <c r="S188" s="60" t="n">
        <f aca="false">IF(R188=0,"",IFERROR(SUMPRODUCT(Normalizacao!$AL$5:$AL$17,Pesos_Indicadores!$I$5:$I$17,((Pesos_Indicadores!$B$5:$B$17=$A$12)*Q188+(Pesos_Indicadores!$B$5:$B$17&lt;&gt;$A$12)*Pesos_Indicadores!$G$5:$G$17*(1-Q188)/(1-$B$12)),Normalizacao!$AI$5:$AI$17)/R188,""))</f>
        <v>0.746950749446939</v>
      </c>
      <c r="T188" s="60" t="n">
        <f aca="false">IF(R188=0,"",IFERROR(SUMPRODUCT(Normalizacao!$AL$5:$AL$17,Pesos_Indicadores!$I$5:$I$17,((Pesos_Indicadores!$B$5:$B$17=$A$12)*Q188+(Pesos_Indicadores!$B$5:$B$17&lt;&gt;$A$12)*Pesos_Indicadores!$G$5:$G$17*(1-Q188)/(1-$B$12)),Normalizacao!$AJ$5:$AJ$17)/R188,""))</f>
        <v>0.765854269594129</v>
      </c>
      <c r="U188" s="60" t="n">
        <f aca="false">IF(R188=0,"",IFERROR(SUMPRODUCT(Normalizacao!$AL$5:$AL$17,Pesos_Indicadores!$I$5:$I$17,((Pesos_Indicadores!$B$5:$B$17=$A$12)*Q188+(Pesos_Indicadores!$B$5:$B$17&lt;&gt;$A$12)*Pesos_Indicadores!$G$5:$G$17*(1-Q188)/(1-$B$12)),Normalizacao!$AK$5:$AK$17)/R188,""))</f>
        <v>0.820573734837791</v>
      </c>
      <c r="V188" s="17" t="str">
        <f aca="false">IF(S188="","",IF(INDEX(S188:U188,$B$5)&gt;=MAX(S188:U188),$B$4,INDEX(Pontuacao!$A$29:$A$31,MATCH(MAX(S188:U188),S188:U188,0))))</f>
        <v>Microsoft Azure</v>
      </c>
      <c r="W188" s="43" t="str">
        <f aca="false">IF(OR(V188="",V188=$B$4,ABS(Q188-$B$12)&lt;0.000000001),"",ABS(Q188-$B$12))</f>
        <v/>
      </c>
    </row>
    <row r="189" customFormat="false" ht="15" hidden="false" customHeight="true" outlineLevel="0" collapsed="false">
      <c r="A189" s="60" t="n">
        <f aca="false">(ROW()-17)*$B$6</f>
        <v>0.86</v>
      </c>
      <c r="B189" s="43" t="n">
        <f aca="false">IFERROR(SUMPRODUCT(Normalizacao!$AL$5:$AL$17,Pesos_Indicadores!$I$5:$I$17,((Pesos_Indicadores!$B$5:$B$17=$A$10)*A189+(Pesos_Indicadores!$B$5:$B$17&lt;&gt;$A$10)*Pesos_Indicadores!$G$5:$G$17*(1-A189)/(1-$B$10))),0)</f>
        <v>0.996769230769231</v>
      </c>
      <c r="C189" s="60" t="n">
        <f aca="false">IF(B189=0,"",IFERROR(SUMPRODUCT(Normalizacao!$AL$5:$AL$17,Pesos_Indicadores!$I$5:$I$17,((Pesos_Indicadores!$B$5:$B$17=$A$10)*A189+(Pesos_Indicadores!$B$5:$B$17&lt;&gt;$A$10)*Pesos_Indicadores!$G$5:$G$17*(1-A189)/(1-$B$10)),Normalizacao!$AI$5:$AI$17)/B189,""))</f>
        <v>0.649031609957606</v>
      </c>
      <c r="D189" s="60" t="n">
        <f aca="false">IF(B189=0,"",IFERROR(SUMPRODUCT(Normalizacao!$AL$5:$AL$17,Pesos_Indicadores!$I$5:$I$17,((Pesos_Indicadores!$B$5:$B$17=$A$10)*A189+(Pesos_Indicadores!$B$5:$B$17&lt;&gt;$A$10)*Pesos_Indicadores!$G$5:$G$17*(1-A189)/(1-$B$10)),Normalizacao!$AJ$5:$AJ$17)/B189,""))</f>
        <v>0.870229487239711</v>
      </c>
      <c r="E189" s="60" t="n">
        <f aca="false">IF(B189=0,"",IFERROR(SUMPRODUCT(Normalizacao!$AL$5:$AL$17,Pesos_Indicadores!$I$5:$I$17,((Pesos_Indicadores!$B$5:$B$17=$A$10)*A189+(Pesos_Indicadores!$B$5:$B$17&lt;&gt;$A$10)*Pesos_Indicadores!$G$5:$G$17*(1-A189)/(1-$B$10)),Normalizacao!$AK$5:$AK$17)/B189,""))</f>
        <v>0.882726212503948</v>
      </c>
      <c r="F189" s="17" t="str">
        <f aca="false">IF(C189="","",IF(INDEX(C189:E189,$B$5)&gt;=MAX(C189:E189),$B$4,INDEX(Pontuacao!$A$29:$A$31,MATCH(MAX(C189:E189),C189:E189,0))))</f>
        <v>Microsoft Azure</v>
      </c>
      <c r="G189" s="43" t="str">
        <f aca="false">IF(OR(F189="",F189=$B$4,ABS(A189-$B$10)&lt;0.000000001),"",ABS(A189-$B$10))</f>
        <v/>
      </c>
      <c r="I189" s="60" t="n">
        <f aca="false">(ROW()-17)*$B$6</f>
        <v>0.86</v>
      </c>
      <c r="J189" s="43" t="n">
        <f aca="false">IFERROR(SUMPRODUCT(Normalizacao!$AL$5:$AL$17,Pesos_Indicadores!$I$5:$I$17,((Pesos_Indicadores!$B$5:$B$17=$A$11)*I189+(Pesos_Indicadores!$B$5:$B$17&lt;&gt;$A$11)*Pesos_Indicadores!$G$5:$G$17*(1-I189)/(1-$B$11))),0)</f>
        <v>0.801538461538462</v>
      </c>
      <c r="K189" s="60" t="n">
        <f aca="false">IF(J189=0,"",IFERROR(SUMPRODUCT(Normalizacao!$AL$5:$AL$17,Pesos_Indicadores!$I$5:$I$17,((Pesos_Indicadores!$B$5:$B$17=$A$11)*I189+(Pesos_Indicadores!$B$5:$B$17&lt;&gt;$A$11)*Pesos_Indicadores!$G$5:$G$17*(1-I189)/(1-$B$11)),Normalizacao!$AI$5:$AI$17)/J189,""))</f>
        <v>0.830467696561357</v>
      </c>
      <c r="L189" s="60" t="n">
        <f aca="false">IF(J189=0,"",IFERROR(SUMPRODUCT(Normalizacao!$AL$5:$AL$17,Pesos_Indicadores!$I$5:$I$17,((Pesos_Indicadores!$B$5:$B$17=$A$11)*I189+(Pesos_Indicadores!$B$5:$B$17&lt;&gt;$A$11)*Pesos_Indicadores!$G$5:$G$17*(1-I189)/(1-$B$11)),Normalizacao!$AJ$5:$AJ$17)/J189,""))</f>
        <v>0.834945662605358</v>
      </c>
      <c r="M189" s="60" t="n">
        <f aca="false">IF(J189=0,"",IFERROR(SUMPRODUCT(Normalizacao!$AL$5:$AL$17,Pesos_Indicadores!$I$5:$I$17,((Pesos_Indicadores!$B$5:$B$17=$A$11)*I189+(Pesos_Indicadores!$B$5:$B$17&lt;&gt;$A$11)*Pesos_Indicadores!$G$5:$G$17*(1-I189)/(1-$B$11)),Normalizacao!$AK$5:$AK$17)/J189,""))</f>
        <v>0.844566492997668</v>
      </c>
      <c r="N189" s="17" t="str">
        <f aca="false">IF(K189="","",IF(INDEX(K189:M189,$B$5)&gt;=MAX(K189:M189),$B$4,INDEX(Pontuacao!$A$29:$A$31,MATCH(MAX(K189:M189),K189:M189,0))))</f>
        <v>Microsoft Azure</v>
      </c>
      <c r="O189" s="43" t="str">
        <f aca="false">IF(OR(N189="",N189=$B$4,ABS(I189-$B$11)&lt;0.000000001),"",ABS(I189-$B$11))</f>
        <v/>
      </c>
      <c r="Q189" s="60" t="n">
        <f aca="false">(ROW()-17)*$B$6</f>
        <v>0.86</v>
      </c>
      <c r="R189" s="43" t="n">
        <f aca="false">IFERROR(SUMPRODUCT(Normalizacao!$AL$5:$AL$17,Pesos_Indicadores!$I$5:$I$17,((Pesos_Indicadores!$B$5:$B$17=$A$12)*Q189+(Pesos_Indicadores!$B$5:$B$17&lt;&gt;$A$12)*Pesos_Indicadores!$G$5:$G$17*(1-Q189)/(1-$B$12))),0)</f>
        <v>0.983846153846154</v>
      </c>
      <c r="S189" s="60" t="n">
        <f aca="false">IF(R189=0,"",IFERROR(SUMPRODUCT(Normalizacao!$AL$5:$AL$17,Pesos_Indicadores!$I$5:$I$17,((Pesos_Indicadores!$B$5:$B$17=$A$12)*Q189+(Pesos_Indicadores!$B$5:$B$17&lt;&gt;$A$12)*Pesos_Indicadores!$G$5:$G$17*(1-Q189)/(1-$B$12)),Normalizacao!$AI$5:$AI$17)/R189,""))</f>
        <v>0.747057622427418</v>
      </c>
      <c r="T189" s="60" t="n">
        <f aca="false">IF(R189=0,"",IFERROR(SUMPRODUCT(Normalizacao!$AL$5:$AL$17,Pesos_Indicadores!$I$5:$I$17,((Pesos_Indicadores!$B$5:$B$17=$A$12)*Q189+(Pesos_Indicadores!$B$5:$B$17&lt;&gt;$A$12)*Pesos_Indicadores!$G$5:$G$17*(1-Q189)/(1-$B$12)),Normalizacao!$AJ$5:$AJ$17)/R189,""))</f>
        <v>0.765298594350206</v>
      </c>
      <c r="U189" s="60" t="n">
        <f aca="false">IF(R189=0,"",IFERROR(SUMPRODUCT(Normalizacao!$AL$5:$AL$17,Pesos_Indicadores!$I$5:$I$17,((Pesos_Indicadores!$B$5:$B$17=$A$12)*Q189+(Pesos_Indicadores!$B$5:$B$17&lt;&gt;$A$12)*Pesos_Indicadores!$G$5:$G$17*(1-Q189)/(1-$B$12)),Normalizacao!$AK$5:$AK$17)/R189,""))</f>
        <v>0.82029075904072</v>
      </c>
      <c r="V189" s="17" t="str">
        <f aca="false">IF(S189="","",IF(INDEX(S189:U189,$B$5)&gt;=MAX(S189:U189),$B$4,INDEX(Pontuacao!$A$29:$A$31,MATCH(MAX(S189:U189),S189:U189,0))))</f>
        <v>Microsoft Azure</v>
      </c>
      <c r="W189" s="43" t="str">
        <f aca="false">IF(OR(V189="",V189=$B$4,ABS(Q189-$B$12)&lt;0.000000001),"",ABS(Q189-$B$12))</f>
        <v/>
      </c>
    </row>
    <row r="190" customFormat="false" ht="15" hidden="false" customHeight="true" outlineLevel="0" collapsed="false">
      <c r="A190" s="60" t="n">
        <f aca="false">(ROW()-17)*$B$6</f>
        <v>0.865</v>
      </c>
      <c r="B190" s="43" t="n">
        <f aca="false">IFERROR(SUMPRODUCT(Normalizacao!$AL$5:$AL$17,Pesos_Indicadores!$I$5:$I$17,((Pesos_Indicadores!$B$5:$B$17=$A$10)*A190+(Pesos_Indicadores!$B$5:$B$17&lt;&gt;$A$10)*Pesos_Indicadores!$G$5:$G$17*(1-A190)/(1-$B$10))),0)</f>
        <v>0.996884615384615</v>
      </c>
      <c r="C190" s="60" t="n">
        <f aca="false">IF(B190=0,"",IFERROR(SUMPRODUCT(Normalizacao!$AL$5:$AL$17,Pesos_Indicadores!$I$5:$I$17,((Pesos_Indicadores!$B$5:$B$17=$A$10)*A190+(Pesos_Indicadores!$B$5:$B$17&lt;&gt;$A$10)*Pesos_Indicadores!$G$5:$G$17*(1-A190)/(1-$B$10)),Normalizacao!$AI$5:$AI$17)/B190,""))</f>
        <v>0.648411476503591</v>
      </c>
      <c r="D190" s="60" t="n">
        <f aca="false">IF(B190=0,"",IFERROR(SUMPRODUCT(Normalizacao!$AL$5:$AL$17,Pesos_Indicadores!$I$5:$I$17,((Pesos_Indicadores!$B$5:$B$17=$A$10)*A190+(Pesos_Indicadores!$B$5:$B$17&lt;&gt;$A$10)*Pesos_Indicadores!$G$5:$G$17*(1-A190)/(1-$B$10)),Normalizacao!$AJ$5:$AJ$17)/B190,""))</f>
        <v>0.870869636509729</v>
      </c>
      <c r="E190" s="60" t="n">
        <f aca="false">IF(B190=0,"",IFERROR(SUMPRODUCT(Normalizacao!$AL$5:$AL$17,Pesos_Indicadores!$I$5:$I$17,((Pesos_Indicadores!$B$5:$B$17=$A$10)*A190+(Pesos_Indicadores!$B$5:$B$17&lt;&gt;$A$10)*Pesos_Indicadores!$G$5:$G$17*(1-A190)/(1-$B$10)),Normalizacao!$AK$5:$AK$17)/B190,""))</f>
        <v>0.883109666921783</v>
      </c>
      <c r="F190" s="17" t="str">
        <f aca="false">IF(C190="","",IF(INDEX(C190:E190,$B$5)&gt;=MAX(C190:E190),$B$4,INDEX(Pontuacao!$A$29:$A$31,MATCH(MAX(C190:E190),C190:E190,0))))</f>
        <v>Microsoft Azure</v>
      </c>
      <c r="G190" s="43" t="str">
        <f aca="false">IF(OR(F190="",F190=$B$4,ABS(A190-$B$10)&lt;0.000000001),"",ABS(A190-$B$10))</f>
        <v/>
      </c>
      <c r="I190" s="60" t="n">
        <f aca="false">(ROW()-17)*$B$6</f>
        <v>0.865</v>
      </c>
      <c r="J190" s="43" t="n">
        <f aca="false">IFERROR(SUMPRODUCT(Normalizacao!$AL$5:$AL$17,Pesos_Indicadores!$I$5:$I$17,((Pesos_Indicadores!$B$5:$B$17=$A$11)*I190+(Pesos_Indicadores!$B$5:$B$17&lt;&gt;$A$11)*Pesos_Indicadores!$G$5:$G$17*(1-I190)/(1-$B$11))),0)</f>
        <v>0.800384615384616</v>
      </c>
      <c r="K190" s="60" t="n">
        <f aca="false">IF(J190=0,"",IFERROR(SUMPRODUCT(Normalizacao!$AL$5:$AL$17,Pesos_Indicadores!$I$5:$I$17,((Pesos_Indicadores!$B$5:$B$17=$A$11)*I190+(Pesos_Indicadores!$B$5:$B$17&lt;&gt;$A$11)*Pesos_Indicadores!$G$5:$G$17*(1-I190)/(1-$B$11)),Normalizacao!$AI$5:$AI$17)/J190,""))</f>
        <v>0.831138126417835</v>
      </c>
      <c r="L190" s="60" t="n">
        <f aca="false">IF(J190=0,"",IFERROR(SUMPRODUCT(Normalizacao!$AL$5:$AL$17,Pesos_Indicadores!$I$5:$I$17,((Pesos_Indicadores!$B$5:$B$17=$A$11)*I190+(Pesos_Indicadores!$B$5:$B$17&lt;&gt;$A$11)*Pesos_Indicadores!$G$5:$G$17*(1-I190)/(1-$B$11)),Normalizacao!$AJ$5:$AJ$17)/J190,""))</f>
        <v>0.83546239005077</v>
      </c>
      <c r="M190" s="60" t="n">
        <f aca="false">IF(J190=0,"",IFERROR(SUMPRODUCT(Normalizacao!$AL$5:$AL$17,Pesos_Indicadores!$I$5:$I$17,((Pesos_Indicadores!$B$5:$B$17=$A$11)*I190+(Pesos_Indicadores!$B$5:$B$17&lt;&gt;$A$11)*Pesos_Indicadores!$G$5:$G$17*(1-I190)/(1-$B$11)),Normalizacao!$AK$5:$AK$17)/J190,""))</f>
        <v>0.844740635614498</v>
      </c>
      <c r="N190" s="17" t="str">
        <f aca="false">IF(K190="","",IF(INDEX(K190:M190,$B$5)&gt;=MAX(K190:M190),$B$4,INDEX(Pontuacao!$A$29:$A$31,MATCH(MAX(K190:M190),K190:M190,0))))</f>
        <v>Microsoft Azure</v>
      </c>
      <c r="O190" s="43" t="str">
        <f aca="false">IF(OR(N190="",N190=$B$4,ABS(I190-$B$11)&lt;0.000000001),"",ABS(I190-$B$11))</f>
        <v/>
      </c>
      <c r="Q190" s="60" t="n">
        <f aca="false">(ROW()-17)*$B$6</f>
        <v>0.865</v>
      </c>
      <c r="R190" s="43" t="n">
        <f aca="false">IFERROR(SUMPRODUCT(Normalizacao!$AL$5:$AL$17,Pesos_Indicadores!$I$5:$I$17,((Pesos_Indicadores!$B$5:$B$17=$A$12)*Q190+(Pesos_Indicadores!$B$5:$B$17&lt;&gt;$A$12)*Pesos_Indicadores!$G$5:$G$17*(1-Q190)/(1-$B$12))),0)</f>
        <v>0.984423076923077</v>
      </c>
      <c r="S190" s="60" t="n">
        <f aca="false">IF(R190=0,"",IFERROR(SUMPRODUCT(Normalizacao!$AL$5:$AL$17,Pesos_Indicadores!$I$5:$I$17,((Pesos_Indicadores!$B$5:$B$17=$A$12)*Q190+(Pesos_Indicadores!$B$5:$B$17&lt;&gt;$A$12)*Pesos_Indicadores!$G$5:$G$17*(1-Q190)/(1-$B$12)),Normalizacao!$AI$5:$AI$17)/R190,""))</f>
        <v>0.747164370141658</v>
      </c>
      <c r="T190" s="60" t="n">
        <f aca="false">IF(R190=0,"",IFERROR(SUMPRODUCT(Normalizacao!$AL$5:$AL$17,Pesos_Indicadores!$I$5:$I$17,((Pesos_Indicadores!$B$5:$B$17=$A$12)*Q190+(Pesos_Indicadores!$B$5:$B$17&lt;&gt;$A$12)*Pesos_Indicadores!$G$5:$G$17*(1-Q190)/(1-$B$12)),Normalizacao!$AJ$5:$AJ$17)/R190,""))</f>
        <v>0.764743570415417</v>
      </c>
      <c r="U190" s="60" t="n">
        <f aca="false">IF(R190=0,"",IFERROR(SUMPRODUCT(Normalizacao!$AL$5:$AL$17,Pesos_Indicadores!$I$5:$I$17,((Pesos_Indicadores!$B$5:$B$17=$A$12)*Q190+(Pesos_Indicadores!$B$5:$B$17&lt;&gt;$A$12)*Pesos_Indicadores!$G$5:$G$17*(1-Q190)/(1-$B$12)),Normalizacao!$AK$5:$AK$17)/R190,""))</f>
        <v>0.820008114920693</v>
      </c>
      <c r="V190" s="17" t="str">
        <f aca="false">IF(S190="","",IF(INDEX(S190:U190,$B$5)&gt;=MAX(S190:U190),$B$4,INDEX(Pontuacao!$A$29:$A$31,MATCH(MAX(S190:U190),S190:U190,0))))</f>
        <v>Microsoft Azure</v>
      </c>
      <c r="W190" s="43" t="str">
        <f aca="false">IF(OR(V190="",V190=$B$4,ABS(Q190-$B$12)&lt;0.000000001),"",ABS(Q190-$B$12))</f>
        <v/>
      </c>
    </row>
    <row r="191" customFormat="false" ht="15" hidden="false" customHeight="true" outlineLevel="0" collapsed="false">
      <c r="A191" s="60" t="n">
        <f aca="false">(ROW()-17)*$B$6</f>
        <v>0.87</v>
      </c>
      <c r="B191" s="43" t="n">
        <f aca="false">IFERROR(SUMPRODUCT(Normalizacao!$AL$5:$AL$17,Pesos_Indicadores!$I$5:$I$17,((Pesos_Indicadores!$B$5:$B$17=$A$10)*A191+(Pesos_Indicadores!$B$5:$B$17&lt;&gt;$A$10)*Pesos_Indicadores!$G$5:$G$17*(1-A191)/(1-$B$10))),0)</f>
        <v>0.997</v>
      </c>
      <c r="C191" s="60" t="n">
        <f aca="false">IF(B191=0,"",IFERROR(SUMPRODUCT(Normalizacao!$AL$5:$AL$17,Pesos_Indicadores!$I$5:$I$17,((Pesos_Indicadores!$B$5:$B$17=$A$10)*A191+(Pesos_Indicadores!$B$5:$B$17&lt;&gt;$A$10)*Pesos_Indicadores!$G$5:$G$17*(1-A191)/(1-$B$10)),Normalizacao!$AI$5:$AI$17)/B191,""))</f>
        <v>0.64779148658791</v>
      </c>
      <c r="D191" s="60" t="n">
        <f aca="false">IF(B191=0,"",IFERROR(SUMPRODUCT(Normalizacao!$AL$5:$AL$17,Pesos_Indicadores!$I$5:$I$17,((Pesos_Indicadores!$B$5:$B$17=$A$10)*A191+(Pesos_Indicadores!$B$5:$B$17&lt;&gt;$A$10)*Pesos_Indicadores!$G$5:$G$17*(1-A191)/(1-$B$10)),Normalizacao!$AJ$5:$AJ$17)/B191,""))</f>
        <v>0.871509637608478</v>
      </c>
      <c r="E191" s="60" t="n">
        <f aca="false">IF(B191=0,"",IFERROR(SUMPRODUCT(Normalizacao!$AL$5:$AL$17,Pesos_Indicadores!$I$5:$I$17,((Pesos_Indicadores!$B$5:$B$17=$A$10)*A191+(Pesos_Indicadores!$B$5:$B$17&lt;&gt;$A$10)*Pesos_Indicadores!$G$5:$G$17*(1-A191)/(1-$B$10)),Normalizacao!$AK$5:$AK$17)/B191,""))</f>
        <v>0.88349303258387</v>
      </c>
      <c r="F191" s="17" t="str">
        <f aca="false">IF(C191="","",IF(INDEX(C191:E191,$B$5)&gt;=MAX(C191:E191),$B$4,INDEX(Pontuacao!$A$29:$A$31,MATCH(MAX(C191:E191),C191:E191,0))))</f>
        <v>Microsoft Azure</v>
      </c>
      <c r="G191" s="43" t="str">
        <f aca="false">IF(OR(F191="",F191=$B$4,ABS(A191-$B$10)&lt;0.000000001),"",ABS(A191-$B$10))</f>
        <v/>
      </c>
      <c r="I191" s="60" t="n">
        <f aca="false">(ROW()-17)*$B$6</f>
        <v>0.87</v>
      </c>
      <c r="J191" s="43" t="n">
        <f aca="false">IFERROR(SUMPRODUCT(Normalizacao!$AL$5:$AL$17,Pesos_Indicadores!$I$5:$I$17,((Pesos_Indicadores!$B$5:$B$17=$A$11)*I191+(Pesos_Indicadores!$B$5:$B$17&lt;&gt;$A$11)*Pesos_Indicadores!$G$5:$G$17*(1-I191)/(1-$B$11))),0)</f>
        <v>0.799230769230769</v>
      </c>
      <c r="K191" s="60" t="n">
        <f aca="false">IF(J191=0,"",IFERROR(SUMPRODUCT(Normalizacao!$AL$5:$AL$17,Pesos_Indicadores!$I$5:$I$17,((Pesos_Indicadores!$B$5:$B$17=$A$11)*I191+(Pesos_Indicadores!$B$5:$B$17&lt;&gt;$A$11)*Pesos_Indicadores!$G$5:$G$17*(1-I191)/(1-$B$11)),Normalizacao!$AI$5:$AI$17)/J191,""))</f>
        <v>0.831810492067932</v>
      </c>
      <c r="L191" s="60" t="n">
        <f aca="false">IF(J191=0,"",IFERROR(SUMPRODUCT(Normalizacao!$AL$5:$AL$17,Pesos_Indicadores!$I$5:$I$17,((Pesos_Indicadores!$B$5:$B$17=$A$11)*I191+(Pesos_Indicadores!$B$5:$B$17&lt;&gt;$A$11)*Pesos_Indicadores!$G$5:$G$17*(1-I191)/(1-$B$11)),Normalizacao!$AJ$5:$AJ$17)/J191,""))</f>
        <v>0.835980609490731</v>
      </c>
      <c r="M191" s="60" t="n">
        <f aca="false">IF(J191=0,"",IFERROR(SUMPRODUCT(Normalizacao!$AL$5:$AL$17,Pesos_Indicadores!$I$5:$I$17,((Pesos_Indicadores!$B$5:$B$17=$A$11)*I191+(Pesos_Indicadores!$B$5:$B$17&lt;&gt;$A$11)*Pesos_Indicadores!$G$5:$G$17*(1-I191)/(1-$B$11)),Normalizacao!$AK$5:$AK$17)/J191,""))</f>
        <v>0.844915281049279</v>
      </c>
      <c r="N191" s="17" t="str">
        <f aca="false">IF(K191="","",IF(INDEX(K191:M191,$B$5)&gt;=MAX(K191:M191),$B$4,INDEX(Pontuacao!$A$29:$A$31,MATCH(MAX(K191:M191),K191:M191,0))))</f>
        <v>Microsoft Azure</v>
      </c>
      <c r="O191" s="43" t="str">
        <f aca="false">IF(OR(N191="",N191=$B$4,ABS(I191-$B$11)&lt;0.000000001),"",ABS(I191-$B$11))</f>
        <v/>
      </c>
      <c r="Q191" s="60" t="n">
        <f aca="false">(ROW()-17)*$B$6</f>
        <v>0.87</v>
      </c>
      <c r="R191" s="43" t="n">
        <f aca="false">IFERROR(SUMPRODUCT(Normalizacao!$AL$5:$AL$17,Pesos_Indicadores!$I$5:$I$17,((Pesos_Indicadores!$B$5:$B$17=$A$12)*Q191+(Pesos_Indicadores!$B$5:$B$17&lt;&gt;$A$12)*Pesos_Indicadores!$G$5:$G$17*(1-Q191)/(1-$B$12))),0)</f>
        <v>0.985</v>
      </c>
      <c r="S191" s="60" t="n">
        <f aca="false">IF(R191=0,"",IFERROR(SUMPRODUCT(Normalizacao!$AL$5:$AL$17,Pesos_Indicadores!$I$5:$I$17,((Pesos_Indicadores!$B$5:$B$17=$A$12)*Q191+(Pesos_Indicadores!$B$5:$B$17&lt;&gt;$A$12)*Pesos_Indicadores!$G$5:$G$17*(1-Q191)/(1-$B$12)),Normalizacao!$AI$5:$AI$17)/R191,""))</f>
        <v>0.747270992809767</v>
      </c>
      <c r="T191" s="60" t="n">
        <f aca="false">IF(R191=0,"",IFERROR(SUMPRODUCT(Normalizacao!$AL$5:$AL$17,Pesos_Indicadores!$I$5:$I$17,((Pesos_Indicadores!$B$5:$B$17=$A$12)*Q191+(Pesos_Indicadores!$B$5:$B$17&lt;&gt;$A$12)*Pesos_Indicadores!$G$5:$G$17*(1-Q191)/(1-$B$12)),Normalizacao!$AJ$5:$AJ$17)/R191,""))</f>
        <v>0.764189196645332</v>
      </c>
      <c r="U191" s="60" t="n">
        <f aca="false">IF(R191=0,"",IFERROR(SUMPRODUCT(Normalizacao!$AL$5:$AL$17,Pesos_Indicadores!$I$5:$I$17,((Pesos_Indicadores!$B$5:$B$17=$A$12)*Q191+(Pesos_Indicadores!$B$5:$B$17&lt;&gt;$A$12)*Pesos_Indicadores!$G$5:$G$17*(1-Q191)/(1-$B$12)),Normalizacao!$AK$5:$AK$17)/R191,""))</f>
        <v>0.81972580189491</v>
      </c>
      <c r="V191" s="17" t="str">
        <f aca="false">IF(S191="","",IF(INDEX(S191:U191,$B$5)&gt;=MAX(S191:U191),$B$4,INDEX(Pontuacao!$A$29:$A$31,MATCH(MAX(S191:U191),S191:U191,0))))</f>
        <v>Microsoft Azure</v>
      </c>
      <c r="W191" s="43" t="str">
        <f aca="false">IF(OR(V191="",V191=$B$4,ABS(Q191-$B$12)&lt;0.000000001),"",ABS(Q191-$B$12))</f>
        <v/>
      </c>
    </row>
    <row r="192" customFormat="false" ht="15" hidden="false" customHeight="true" outlineLevel="0" collapsed="false">
      <c r="A192" s="60" t="n">
        <f aca="false">(ROW()-17)*$B$6</f>
        <v>0.875</v>
      </c>
      <c r="B192" s="43" t="n">
        <f aca="false">IFERROR(SUMPRODUCT(Normalizacao!$AL$5:$AL$17,Pesos_Indicadores!$I$5:$I$17,((Pesos_Indicadores!$B$5:$B$17=$A$10)*A192+(Pesos_Indicadores!$B$5:$B$17&lt;&gt;$A$10)*Pesos_Indicadores!$G$5:$G$17*(1-A192)/(1-$B$10))),0)</f>
        <v>0.997115384615385</v>
      </c>
      <c r="C192" s="60" t="n">
        <f aca="false">IF(B192=0,"",IFERROR(SUMPRODUCT(Normalizacao!$AL$5:$AL$17,Pesos_Indicadores!$I$5:$I$17,((Pesos_Indicadores!$B$5:$B$17=$A$10)*A192+(Pesos_Indicadores!$B$5:$B$17&lt;&gt;$A$10)*Pesos_Indicadores!$G$5:$G$17*(1-A192)/(1-$B$10)),Normalizacao!$AI$5:$AI$17)/B192,""))</f>
        <v>0.647171640160735</v>
      </c>
      <c r="D192" s="60" t="n">
        <f aca="false">IF(B192=0,"",IFERROR(SUMPRODUCT(Normalizacao!$AL$5:$AL$17,Pesos_Indicadores!$I$5:$I$17,((Pesos_Indicadores!$B$5:$B$17=$A$10)*A192+(Pesos_Indicadores!$B$5:$B$17&lt;&gt;$A$10)*Pesos_Indicadores!$G$5:$G$17*(1-A192)/(1-$B$10)),Normalizacao!$AJ$5:$AJ$17)/B192,""))</f>
        <v>0.872149490587397</v>
      </c>
      <c r="E192" s="60" t="n">
        <f aca="false">IF(B192=0,"",IFERROR(SUMPRODUCT(Normalizacao!$AL$5:$AL$17,Pesos_Indicadores!$I$5:$I$17,((Pesos_Indicadores!$B$5:$B$17=$A$10)*A192+(Pesos_Indicadores!$B$5:$B$17&lt;&gt;$A$10)*Pesos_Indicadores!$G$5:$G$17*(1-A192)/(1-$B$10)),Normalizacao!$AK$5:$AK$17)/B192,""))</f>
        <v>0.88387630952102</v>
      </c>
      <c r="F192" s="17" t="str">
        <f aca="false">IF(C192="","",IF(INDEX(C192:E192,$B$5)&gt;=MAX(C192:E192),$B$4,INDEX(Pontuacao!$A$29:$A$31,MATCH(MAX(C192:E192),C192:E192,0))))</f>
        <v>Microsoft Azure</v>
      </c>
      <c r="G192" s="43" t="str">
        <f aca="false">IF(OR(F192="",F192=$B$4,ABS(A192-$B$10)&lt;0.000000001),"",ABS(A192-$B$10))</f>
        <v/>
      </c>
      <c r="I192" s="60" t="n">
        <f aca="false">(ROW()-17)*$B$6</f>
        <v>0.875</v>
      </c>
      <c r="J192" s="43" t="n">
        <f aca="false">IFERROR(SUMPRODUCT(Normalizacao!$AL$5:$AL$17,Pesos_Indicadores!$I$5:$I$17,((Pesos_Indicadores!$B$5:$B$17=$A$11)*I192+(Pesos_Indicadores!$B$5:$B$17&lt;&gt;$A$11)*Pesos_Indicadores!$G$5:$G$17*(1-I192)/(1-$B$11))),0)</f>
        <v>0.798076923076923</v>
      </c>
      <c r="K192" s="60" t="n">
        <f aca="false">IF(J192=0,"",IFERROR(SUMPRODUCT(Normalizacao!$AL$5:$AL$17,Pesos_Indicadores!$I$5:$I$17,((Pesos_Indicadores!$B$5:$B$17=$A$11)*I192+(Pesos_Indicadores!$B$5:$B$17&lt;&gt;$A$11)*Pesos_Indicadores!$G$5:$G$17*(1-I192)/(1-$B$11)),Normalizacao!$AI$5:$AI$17)/J192,""))</f>
        <v>0.83248480190786</v>
      </c>
      <c r="L192" s="60" t="n">
        <f aca="false">IF(J192=0,"",IFERROR(SUMPRODUCT(Normalizacao!$AL$5:$AL$17,Pesos_Indicadores!$I$5:$I$17,((Pesos_Indicadores!$B$5:$B$17=$A$11)*I192+(Pesos_Indicadores!$B$5:$B$17&lt;&gt;$A$11)*Pesos_Indicadores!$G$5:$G$17*(1-I192)/(1-$B$11)),Normalizacao!$AJ$5:$AJ$17)/J192,""))</f>
        <v>0.836500327396543</v>
      </c>
      <c r="M192" s="60" t="n">
        <f aca="false">IF(J192=0,"",IFERROR(SUMPRODUCT(Normalizacao!$AL$5:$AL$17,Pesos_Indicadores!$I$5:$I$17,((Pesos_Indicadores!$B$5:$B$17=$A$11)*I192+(Pesos_Indicadores!$B$5:$B$17&lt;&gt;$A$11)*Pesos_Indicadores!$G$5:$G$17*(1-I192)/(1-$B$11)),Normalizacao!$AK$5:$AK$17)/J192,""))</f>
        <v>0.845090431482907</v>
      </c>
      <c r="N192" s="17" t="str">
        <f aca="false">IF(K192="","",IF(INDEX(K192:M192,$B$5)&gt;=MAX(K192:M192),$B$4,INDEX(Pontuacao!$A$29:$A$31,MATCH(MAX(K192:M192),K192:M192,0))))</f>
        <v>Microsoft Azure</v>
      </c>
      <c r="O192" s="43" t="str">
        <f aca="false">IF(OR(N192="",N192=$B$4,ABS(I192-$B$11)&lt;0.000000001),"",ABS(I192-$B$11))</f>
        <v/>
      </c>
      <c r="Q192" s="60" t="n">
        <f aca="false">(ROW()-17)*$B$6</f>
        <v>0.875</v>
      </c>
      <c r="R192" s="43" t="n">
        <f aca="false">IFERROR(SUMPRODUCT(Normalizacao!$AL$5:$AL$17,Pesos_Indicadores!$I$5:$I$17,((Pesos_Indicadores!$B$5:$B$17=$A$12)*Q192+(Pesos_Indicadores!$B$5:$B$17&lt;&gt;$A$12)*Pesos_Indicadores!$G$5:$G$17*(1-Q192)/(1-$B$12))),0)</f>
        <v>0.985576923076923</v>
      </c>
      <c r="S192" s="60" t="n">
        <f aca="false">IF(R192=0,"",IFERROR(SUMPRODUCT(Normalizacao!$AL$5:$AL$17,Pesos_Indicadores!$I$5:$I$17,((Pesos_Indicadores!$B$5:$B$17=$A$12)*Q192+(Pesos_Indicadores!$B$5:$B$17&lt;&gt;$A$12)*Pesos_Indicadores!$G$5:$G$17*(1-Q192)/(1-$B$12)),Normalizacao!$AI$5:$AI$17)/R192,""))</f>
        <v>0.747377490651337</v>
      </c>
      <c r="T192" s="60" t="n">
        <f aca="false">IF(R192=0,"",IFERROR(SUMPRODUCT(Normalizacao!$AL$5:$AL$17,Pesos_Indicadores!$I$5:$I$17,((Pesos_Indicadores!$B$5:$B$17=$A$12)*Q192+(Pesos_Indicadores!$B$5:$B$17&lt;&gt;$A$12)*Pesos_Indicadores!$G$5:$G$17*(1-Q192)/(1-$B$12)),Normalizacao!$AJ$5:$AJ$17)/R192,""))</f>
        <v>0.763635471898197</v>
      </c>
      <c r="U192" s="60" t="n">
        <f aca="false">IF(R192=0,"",IFERROR(SUMPRODUCT(Normalizacao!$AL$5:$AL$17,Pesos_Indicadores!$I$5:$I$17,((Pesos_Indicadores!$B$5:$B$17=$A$12)*Q192+(Pesos_Indicadores!$B$5:$B$17&lt;&gt;$A$12)*Pesos_Indicadores!$G$5:$G$17*(1-Q192)/(1-$B$12)),Normalizacao!$AK$5:$AK$17)/R192,""))</f>
        <v>0.819443819381938</v>
      </c>
      <c r="V192" s="17" t="str">
        <f aca="false">IF(S192="","",IF(INDEX(S192:U192,$B$5)&gt;=MAX(S192:U192),$B$4,INDEX(Pontuacao!$A$29:$A$31,MATCH(MAX(S192:U192),S192:U192,0))))</f>
        <v>Microsoft Azure</v>
      </c>
      <c r="W192" s="43" t="str">
        <f aca="false">IF(OR(V192="",V192=$B$4,ABS(Q192-$B$12)&lt;0.000000001),"",ABS(Q192-$B$12))</f>
        <v/>
      </c>
    </row>
    <row r="193" customFormat="false" ht="15" hidden="false" customHeight="true" outlineLevel="0" collapsed="false">
      <c r="A193" s="60" t="n">
        <f aca="false">(ROW()-17)*$B$6</f>
        <v>0.88</v>
      </c>
      <c r="B193" s="43" t="n">
        <f aca="false">IFERROR(SUMPRODUCT(Normalizacao!$AL$5:$AL$17,Pesos_Indicadores!$I$5:$I$17,((Pesos_Indicadores!$B$5:$B$17=$A$10)*A193+(Pesos_Indicadores!$B$5:$B$17&lt;&gt;$A$10)*Pesos_Indicadores!$G$5:$G$17*(1-A193)/(1-$B$10))),0)</f>
        <v>0.997230769230769</v>
      </c>
      <c r="C193" s="60" t="n">
        <f aca="false">IF(B193=0,"",IFERROR(SUMPRODUCT(Normalizacao!$AL$5:$AL$17,Pesos_Indicadores!$I$5:$I$17,((Pesos_Indicadores!$B$5:$B$17=$A$10)*A193+(Pesos_Indicadores!$B$5:$B$17&lt;&gt;$A$10)*Pesos_Indicadores!$G$5:$G$17*(1-A193)/(1-$B$10)),Normalizacao!$AI$5:$AI$17)/B193,""))</f>
        <v>0.646551937172257</v>
      </c>
      <c r="D193" s="60" t="n">
        <f aca="false">IF(B193=0,"",IFERROR(SUMPRODUCT(Normalizacao!$AL$5:$AL$17,Pesos_Indicadores!$I$5:$I$17,((Pesos_Indicadores!$B$5:$B$17=$A$10)*A193+(Pesos_Indicadores!$B$5:$B$17&lt;&gt;$A$10)*Pesos_Indicadores!$G$5:$G$17*(1-A193)/(1-$B$10)),Normalizacao!$AJ$5:$AJ$17)/B193,""))</f>
        <v>0.872789195497901</v>
      </c>
      <c r="E193" s="60" t="n">
        <f aca="false">IF(B193=0,"",IFERROR(SUMPRODUCT(Normalizacao!$AL$5:$AL$17,Pesos_Indicadores!$I$5:$I$17,((Pesos_Indicadores!$B$5:$B$17=$A$10)*A193+(Pesos_Indicadores!$B$5:$B$17&lt;&gt;$A$10)*Pesos_Indicadores!$G$5:$G$17*(1-A193)/(1-$B$10)),Normalizacao!$AK$5:$AK$17)/B193,""))</f>
        <v>0.884259497764031</v>
      </c>
      <c r="F193" s="17" t="str">
        <f aca="false">IF(C193="","",IF(INDEX(C193:E193,$B$5)&gt;=MAX(C193:E193),$B$4,INDEX(Pontuacao!$A$29:$A$31,MATCH(MAX(C193:E193),C193:E193,0))))</f>
        <v>Microsoft Azure</v>
      </c>
      <c r="G193" s="43" t="str">
        <f aca="false">IF(OR(F193="",F193=$B$4,ABS(A193-$B$10)&lt;0.000000001),"",ABS(A193-$B$10))</f>
        <v/>
      </c>
      <c r="I193" s="60" t="n">
        <f aca="false">(ROW()-17)*$B$6</f>
        <v>0.88</v>
      </c>
      <c r="J193" s="43" t="n">
        <f aca="false">IFERROR(SUMPRODUCT(Normalizacao!$AL$5:$AL$17,Pesos_Indicadores!$I$5:$I$17,((Pesos_Indicadores!$B$5:$B$17=$A$11)*I193+(Pesos_Indicadores!$B$5:$B$17&lt;&gt;$A$11)*Pesos_Indicadores!$G$5:$G$17*(1-I193)/(1-$B$11))),0)</f>
        <v>0.796923076923077</v>
      </c>
      <c r="K193" s="60" t="n">
        <f aca="false">IF(J193=0,"",IFERROR(SUMPRODUCT(Normalizacao!$AL$5:$AL$17,Pesos_Indicadores!$I$5:$I$17,((Pesos_Indicadores!$B$5:$B$17=$A$11)*I193+(Pesos_Indicadores!$B$5:$B$17&lt;&gt;$A$11)*Pesos_Indicadores!$G$5:$G$17*(1-I193)/(1-$B$11)),Normalizacao!$AI$5:$AI$17)/J193,""))</f>
        <v>0.83316106438246</v>
      </c>
      <c r="L193" s="60" t="n">
        <f aca="false">IF(J193=0,"",IFERROR(SUMPRODUCT(Normalizacao!$AL$5:$AL$17,Pesos_Indicadores!$I$5:$I$17,((Pesos_Indicadores!$B$5:$B$17=$A$11)*I193+(Pesos_Indicadores!$B$5:$B$17&lt;&gt;$A$11)*Pesos_Indicadores!$G$5:$G$17*(1-I193)/(1-$B$11)),Normalizacao!$AJ$5:$AJ$17)/J193,""))</f>
        <v>0.837021550276985</v>
      </c>
      <c r="M193" s="60" t="n">
        <f aca="false">IF(J193=0,"",IFERROR(SUMPRODUCT(Normalizacao!$AL$5:$AL$17,Pesos_Indicadores!$I$5:$I$17,((Pesos_Indicadores!$B$5:$B$17=$A$11)*I193+(Pesos_Indicadores!$B$5:$B$17&lt;&gt;$A$11)*Pesos_Indicadores!$G$5:$G$17*(1-I193)/(1-$B$11)),Normalizacao!$AK$5:$AK$17)/J193,""))</f>
        <v>0.845266089108911</v>
      </c>
      <c r="N193" s="17" t="str">
        <f aca="false">IF(K193="","",IF(INDEX(K193:M193,$B$5)&gt;=MAX(K193:M193),$B$4,INDEX(Pontuacao!$A$29:$A$31,MATCH(MAX(K193:M193),K193:M193,0))))</f>
        <v>Microsoft Azure</v>
      </c>
      <c r="O193" s="43" t="str">
        <f aca="false">IF(OR(N193="",N193=$B$4,ABS(I193-$B$11)&lt;0.000000001),"",ABS(I193-$B$11))</f>
        <v/>
      </c>
      <c r="Q193" s="60" t="n">
        <f aca="false">(ROW()-17)*$B$6</f>
        <v>0.88</v>
      </c>
      <c r="R193" s="43" t="n">
        <f aca="false">IFERROR(SUMPRODUCT(Normalizacao!$AL$5:$AL$17,Pesos_Indicadores!$I$5:$I$17,((Pesos_Indicadores!$B$5:$B$17=$A$12)*Q193+(Pesos_Indicadores!$B$5:$B$17&lt;&gt;$A$12)*Pesos_Indicadores!$G$5:$G$17*(1-Q193)/(1-$B$12))),0)</f>
        <v>0.986153846153846</v>
      </c>
      <c r="S193" s="60" t="n">
        <f aca="false">IF(R193=0,"",IFERROR(SUMPRODUCT(Normalizacao!$AL$5:$AL$17,Pesos_Indicadores!$I$5:$I$17,((Pesos_Indicadores!$B$5:$B$17=$A$12)*Q193+(Pesos_Indicadores!$B$5:$B$17&lt;&gt;$A$12)*Pesos_Indicadores!$G$5:$G$17*(1-Q193)/(1-$B$12)),Normalizacao!$AI$5:$AI$17)/R193,""))</f>
        <v>0.747483863885448</v>
      </c>
      <c r="T193" s="60" t="n">
        <f aca="false">IF(R193=0,"",IFERROR(SUMPRODUCT(Normalizacao!$AL$5:$AL$17,Pesos_Indicadores!$I$5:$I$17,((Pesos_Indicadores!$B$5:$B$17=$A$12)*Q193+(Pesos_Indicadores!$B$5:$B$17&lt;&gt;$A$12)*Pesos_Indicadores!$G$5:$G$17*(1-Q193)/(1-$B$12)),Normalizacao!$AJ$5:$AJ$17)/R193,""))</f>
        <v>0.763082395034932</v>
      </c>
      <c r="U193" s="60" t="n">
        <f aca="false">IF(R193=0,"",IFERROR(SUMPRODUCT(Normalizacao!$AL$5:$AL$17,Pesos_Indicadores!$I$5:$I$17,((Pesos_Indicadores!$B$5:$B$17=$A$12)*Q193+(Pesos_Indicadores!$B$5:$B$17&lt;&gt;$A$12)*Pesos_Indicadores!$G$5:$G$17*(1-Q193)/(1-$B$12)),Normalizacao!$AK$5:$AK$17)/R193,""))</f>
        <v>0.819162166801704</v>
      </c>
      <c r="V193" s="17" t="str">
        <f aca="false">IF(S193="","",IF(INDEX(S193:U193,$B$5)&gt;=MAX(S193:U193),$B$4,INDEX(Pontuacao!$A$29:$A$31,MATCH(MAX(S193:U193),S193:U193,0))))</f>
        <v>Microsoft Azure</v>
      </c>
      <c r="W193" s="43" t="str">
        <f aca="false">IF(OR(V193="",V193=$B$4,ABS(Q193-$B$12)&lt;0.000000001),"",ABS(Q193-$B$12))</f>
        <v/>
      </c>
    </row>
    <row r="194" customFormat="false" ht="15" hidden="false" customHeight="true" outlineLevel="0" collapsed="false">
      <c r="A194" s="60" t="n">
        <f aca="false">(ROW()-17)*$B$6</f>
        <v>0.885</v>
      </c>
      <c r="B194" s="43" t="n">
        <f aca="false">IFERROR(SUMPRODUCT(Normalizacao!$AL$5:$AL$17,Pesos_Indicadores!$I$5:$I$17,((Pesos_Indicadores!$B$5:$B$17=$A$10)*A194+(Pesos_Indicadores!$B$5:$B$17&lt;&gt;$A$10)*Pesos_Indicadores!$G$5:$G$17*(1-A194)/(1-$B$10))),0)</f>
        <v>0.997346153846154</v>
      </c>
      <c r="C194" s="60" t="n">
        <f aca="false">IF(B194=0,"",IFERROR(SUMPRODUCT(Normalizacao!$AL$5:$AL$17,Pesos_Indicadores!$I$5:$I$17,((Pesos_Indicadores!$B$5:$B$17=$A$10)*A194+(Pesos_Indicadores!$B$5:$B$17&lt;&gt;$A$10)*Pesos_Indicadores!$G$5:$G$17*(1-A194)/(1-$B$10)),Normalizacao!$AI$5:$AI$17)/B194,""))</f>
        <v>0.645932377572694</v>
      </c>
      <c r="D194" s="60" t="n">
        <f aca="false">IF(B194=0,"",IFERROR(SUMPRODUCT(Normalizacao!$AL$5:$AL$17,Pesos_Indicadores!$I$5:$I$17,((Pesos_Indicadores!$B$5:$B$17=$A$10)*A194+(Pesos_Indicadores!$B$5:$B$17&lt;&gt;$A$10)*Pesos_Indicadores!$G$5:$G$17*(1-A194)/(1-$B$10)),Normalizacao!$AJ$5:$AJ$17)/B194,""))</f>
        <v>0.87342875239138</v>
      </c>
      <c r="E194" s="60" t="n">
        <f aca="false">IF(B194=0,"",IFERROR(SUMPRODUCT(Normalizacao!$AL$5:$AL$17,Pesos_Indicadores!$I$5:$I$17,((Pesos_Indicadores!$B$5:$B$17=$A$10)*A194+(Pesos_Indicadores!$B$5:$B$17&lt;&gt;$A$10)*Pesos_Indicadores!$G$5:$G$17*(1-A194)/(1-$B$10)),Normalizacao!$AK$5:$AK$17)/B194,""))</f>
        <v>0.884642597343688</v>
      </c>
      <c r="F194" s="17" t="str">
        <f aca="false">IF(C194="","",IF(INDEX(C194:E194,$B$5)&gt;=MAX(C194:E194),$B$4,INDEX(Pontuacao!$A$29:$A$31,MATCH(MAX(C194:E194),C194:E194,0))))</f>
        <v>Microsoft Azure</v>
      </c>
      <c r="G194" s="43" t="str">
        <f aca="false">IF(OR(F194="",F194=$B$4,ABS(A194-$B$10)&lt;0.000000001),"",ABS(A194-$B$10))</f>
        <v/>
      </c>
      <c r="I194" s="60" t="n">
        <f aca="false">(ROW()-17)*$B$6</f>
        <v>0.885</v>
      </c>
      <c r="J194" s="43" t="n">
        <f aca="false">IFERROR(SUMPRODUCT(Normalizacao!$AL$5:$AL$17,Pesos_Indicadores!$I$5:$I$17,((Pesos_Indicadores!$B$5:$B$17=$A$11)*I194+(Pesos_Indicadores!$B$5:$B$17&lt;&gt;$A$11)*Pesos_Indicadores!$G$5:$G$17*(1-I194)/(1-$B$11))),0)</f>
        <v>0.795769230769231</v>
      </c>
      <c r="K194" s="60" t="n">
        <f aca="false">IF(J194=0,"",IFERROR(SUMPRODUCT(Normalizacao!$AL$5:$AL$17,Pesos_Indicadores!$I$5:$I$17,((Pesos_Indicadores!$B$5:$B$17=$A$11)*I194+(Pesos_Indicadores!$B$5:$B$17&lt;&gt;$A$11)*Pesos_Indicadores!$G$5:$G$17*(1-I194)/(1-$B$11)),Normalizacao!$AI$5:$AI$17)/J194,""))</f>
        <v>0.833839287985551</v>
      </c>
      <c r="L194" s="60" t="n">
        <f aca="false">IF(J194=0,"",IFERROR(SUMPRODUCT(Normalizacao!$AL$5:$AL$17,Pesos_Indicadores!$I$5:$I$17,((Pesos_Indicadores!$B$5:$B$17=$A$11)*I194+(Pesos_Indicadores!$B$5:$B$17&lt;&gt;$A$11)*Pesos_Indicadores!$G$5:$G$17*(1-I194)/(1-$B$11)),Normalizacao!$AJ$5:$AJ$17)/J194,""))</f>
        <v>0.837544284678589</v>
      </c>
      <c r="M194" s="60" t="n">
        <f aca="false">IF(J194=0,"",IFERROR(SUMPRODUCT(Normalizacao!$AL$5:$AL$17,Pesos_Indicadores!$I$5:$I$17,((Pesos_Indicadores!$B$5:$B$17=$A$11)*I194+(Pesos_Indicadores!$B$5:$B$17&lt;&gt;$A$11)*Pesos_Indicadores!$G$5:$G$17*(1-I194)/(1-$B$11)),Normalizacao!$AK$5:$AK$17)/J194,""))</f>
        <v>0.84544225613354</v>
      </c>
      <c r="N194" s="17" t="str">
        <f aca="false">IF(K194="","",IF(INDEX(K194:M194,$B$5)&gt;=MAX(K194:M194),$B$4,INDEX(Pontuacao!$A$29:$A$31,MATCH(MAX(K194:M194),K194:M194,0))))</f>
        <v>Microsoft Azure</v>
      </c>
      <c r="O194" s="43" t="str">
        <f aca="false">IF(OR(N194="",N194=$B$4,ABS(I194-$B$11)&lt;0.000000001),"",ABS(I194-$B$11))</f>
        <v/>
      </c>
      <c r="Q194" s="60" t="n">
        <f aca="false">(ROW()-17)*$B$6</f>
        <v>0.885</v>
      </c>
      <c r="R194" s="43" t="n">
        <f aca="false">IFERROR(SUMPRODUCT(Normalizacao!$AL$5:$AL$17,Pesos_Indicadores!$I$5:$I$17,((Pesos_Indicadores!$B$5:$B$17=$A$12)*Q194+(Pesos_Indicadores!$B$5:$B$17&lt;&gt;$A$12)*Pesos_Indicadores!$G$5:$G$17*(1-Q194)/(1-$B$12))),0)</f>
        <v>0.986730769230769</v>
      </c>
      <c r="S194" s="60" t="n">
        <f aca="false">IF(R194=0,"",IFERROR(SUMPRODUCT(Normalizacao!$AL$5:$AL$17,Pesos_Indicadores!$I$5:$I$17,((Pesos_Indicadores!$B$5:$B$17=$A$12)*Q194+(Pesos_Indicadores!$B$5:$B$17&lt;&gt;$A$12)*Pesos_Indicadores!$G$5:$G$17*(1-Q194)/(1-$B$12)),Normalizacao!$AI$5:$AI$17)/R194,""))</f>
        <v>0.747590112730667</v>
      </c>
      <c r="T194" s="60" t="n">
        <f aca="false">IF(R194=0,"",IFERROR(SUMPRODUCT(Normalizacao!$AL$5:$AL$17,Pesos_Indicadores!$I$5:$I$17,((Pesos_Indicadores!$B$5:$B$17=$A$12)*Q194+(Pesos_Indicadores!$B$5:$B$17&lt;&gt;$A$12)*Pesos_Indicadores!$G$5:$G$17*(1-Q194)/(1-$B$12)),Normalizacao!$AJ$5:$AJ$17)/R194,""))</f>
        <v>0.762529964919119</v>
      </c>
      <c r="U194" s="60" t="n">
        <f aca="false">IF(R194=0,"",IFERROR(SUMPRODUCT(Normalizacao!$AL$5:$AL$17,Pesos_Indicadores!$I$5:$I$17,((Pesos_Indicadores!$B$5:$B$17=$A$12)*Q194+(Pesos_Indicadores!$B$5:$B$17&lt;&gt;$A$12)*Pesos_Indicadores!$G$5:$G$17*(1-Q194)/(1-$B$12)),Normalizacao!$AK$5:$AK$17)/R194,""))</f>
        <v>0.81888084357549</v>
      </c>
      <c r="V194" s="17" t="str">
        <f aca="false">IF(S194="","",IF(INDEX(S194:U194,$B$5)&gt;=MAX(S194:U194),$B$4,INDEX(Pontuacao!$A$29:$A$31,MATCH(MAX(S194:U194),S194:U194,0))))</f>
        <v>Microsoft Azure</v>
      </c>
      <c r="W194" s="43" t="str">
        <f aca="false">IF(OR(V194="",V194=$B$4,ABS(Q194-$B$12)&lt;0.000000001),"",ABS(Q194-$B$12))</f>
        <v/>
      </c>
    </row>
    <row r="195" customFormat="false" ht="15" hidden="false" customHeight="true" outlineLevel="0" collapsed="false">
      <c r="A195" s="60" t="n">
        <f aca="false">(ROW()-17)*$B$6</f>
        <v>0.89</v>
      </c>
      <c r="B195" s="43" t="n">
        <f aca="false">IFERROR(SUMPRODUCT(Normalizacao!$AL$5:$AL$17,Pesos_Indicadores!$I$5:$I$17,((Pesos_Indicadores!$B$5:$B$17=$A$10)*A195+(Pesos_Indicadores!$B$5:$B$17&lt;&gt;$A$10)*Pesos_Indicadores!$G$5:$G$17*(1-A195)/(1-$B$10))),0)</f>
        <v>0.997461538461538</v>
      </c>
      <c r="C195" s="60" t="n">
        <f aca="false">IF(B195=0,"",IFERROR(SUMPRODUCT(Normalizacao!$AL$5:$AL$17,Pesos_Indicadores!$I$5:$I$17,((Pesos_Indicadores!$B$5:$B$17=$A$10)*A195+(Pesos_Indicadores!$B$5:$B$17&lt;&gt;$A$10)*Pesos_Indicadores!$G$5:$G$17*(1-A195)/(1-$B$10)),Normalizacao!$AI$5:$AI$17)/B195,""))</f>
        <v>0.645312961312284</v>
      </c>
      <c r="D195" s="60" t="n">
        <f aca="false">IF(B195=0,"",IFERROR(SUMPRODUCT(Normalizacao!$AL$5:$AL$17,Pesos_Indicadores!$I$5:$I$17,((Pesos_Indicadores!$B$5:$B$17=$A$10)*A195+(Pesos_Indicadores!$B$5:$B$17&lt;&gt;$A$10)*Pesos_Indicadores!$G$5:$G$17*(1-A195)/(1-$B$10)),Normalizacao!$AJ$5:$AJ$17)/B195,""))</f>
        <v>0.874068161319202</v>
      </c>
      <c r="E195" s="60" t="n">
        <f aca="false">IF(B195=0,"",IFERROR(SUMPRODUCT(Normalizacao!$AL$5:$AL$17,Pesos_Indicadores!$I$5:$I$17,((Pesos_Indicadores!$B$5:$B$17=$A$10)*A195+(Pesos_Indicadores!$B$5:$B$17&lt;&gt;$A$10)*Pesos_Indicadores!$G$5:$G$17*(1-A195)/(1-$B$10)),Normalizacao!$AK$5:$AK$17)/B195,""))</f>
        <v>0.885025608290759</v>
      </c>
      <c r="F195" s="17" t="str">
        <f aca="false">IF(C195="","",IF(INDEX(C195:E195,$B$5)&gt;=MAX(C195:E195),$B$4,INDEX(Pontuacao!$A$29:$A$31,MATCH(MAX(C195:E195),C195:E195,0))))</f>
        <v>Microsoft Azure</v>
      </c>
      <c r="G195" s="43" t="str">
        <f aca="false">IF(OR(F195="",F195=$B$4,ABS(A195-$B$10)&lt;0.000000001),"",ABS(A195-$B$10))</f>
        <v/>
      </c>
      <c r="I195" s="60" t="n">
        <f aca="false">(ROW()-17)*$B$6</f>
        <v>0.89</v>
      </c>
      <c r="J195" s="43" t="n">
        <f aca="false">IFERROR(SUMPRODUCT(Normalizacao!$AL$5:$AL$17,Pesos_Indicadores!$I$5:$I$17,((Pesos_Indicadores!$B$5:$B$17=$A$11)*I195+(Pesos_Indicadores!$B$5:$B$17&lt;&gt;$A$11)*Pesos_Indicadores!$G$5:$G$17*(1-I195)/(1-$B$11))),0)</f>
        <v>0.794615384615385</v>
      </c>
      <c r="K195" s="60" t="n">
        <f aca="false">IF(J195=0,"",IFERROR(SUMPRODUCT(Normalizacao!$AL$5:$AL$17,Pesos_Indicadores!$I$5:$I$17,((Pesos_Indicadores!$B$5:$B$17=$A$11)*I195+(Pesos_Indicadores!$B$5:$B$17&lt;&gt;$A$11)*Pesos_Indicadores!$G$5:$G$17*(1-I195)/(1-$B$11)),Normalizacao!$AI$5:$AI$17)/J195,""))</f>
        <v>0.834519481260287</v>
      </c>
      <c r="L195" s="60" t="n">
        <f aca="false">IF(J195=0,"",IFERROR(SUMPRODUCT(Normalizacao!$AL$5:$AL$17,Pesos_Indicadores!$I$5:$I$17,((Pesos_Indicadores!$B$5:$B$17=$A$11)*I195+(Pesos_Indicadores!$B$5:$B$17&lt;&gt;$A$11)*Pesos_Indicadores!$G$5:$G$17*(1-I195)/(1-$B$11)),Normalizacao!$AJ$5:$AJ$17)/J195,""))</f>
        <v>0.838068537185909</v>
      </c>
      <c r="M195" s="60" t="n">
        <f aca="false">IF(J195=0,"",IFERROR(SUMPRODUCT(Normalizacao!$AL$5:$AL$17,Pesos_Indicadores!$I$5:$I$17,((Pesos_Indicadores!$B$5:$B$17=$A$11)*I195+(Pesos_Indicadores!$B$5:$B$17&lt;&gt;$A$11)*Pesos_Indicadores!$G$5:$G$17*(1-I195)/(1-$B$11)),Normalizacao!$AK$5:$AK$17)/J195,""))</f>
        <v>0.845618934775859</v>
      </c>
      <c r="N195" s="17" t="str">
        <f aca="false">IF(K195="","",IF(INDEX(K195:M195,$B$5)&gt;=MAX(K195:M195),$B$4,INDEX(Pontuacao!$A$29:$A$31,MATCH(MAX(K195:M195),K195:M195,0))))</f>
        <v>Microsoft Azure</v>
      </c>
      <c r="O195" s="43" t="str">
        <f aca="false">IF(OR(N195="",N195=$B$4,ABS(I195-$B$11)&lt;0.000000001),"",ABS(I195-$B$11))</f>
        <v/>
      </c>
      <c r="Q195" s="60" t="n">
        <f aca="false">(ROW()-17)*$B$6</f>
        <v>0.89</v>
      </c>
      <c r="R195" s="43" t="n">
        <f aca="false">IFERROR(SUMPRODUCT(Normalizacao!$AL$5:$AL$17,Pesos_Indicadores!$I$5:$I$17,((Pesos_Indicadores!$B$5:$B$17=$A$12)*Q195+(Pesos_Indicadores!$B$5:$B$17&lt;&gt;$A$12)*Pesos_Indicadores!$G$5:$G$17*(1-Q195)/(1-$B$12))),0)</f>
        <v>0.987307692307692</v>
      </c>
      <c r="S195" s="60" t="n">
        <f aca="false">IF(R195=0,"",IFERROR(SUMPRODUCT(Normalizacao!$AL$5:$AL$17,Pesos_Indicadores!$I$5:$I$17,((Pesos_Indicadores!$B$5:$B$17=$A$12)*Q195+(Pesos_Indicadores!$B$5:$B$17&lt;&gt;$A$12)*Pesos_Indicadores!$G$5:$G$17*(1-Q195)/(1-$B$12)),Normalizacao!$AI$5:$AI$17)/R195,""))</f>
        <v>0.74769623740505</v>
      </c>
      <c r="T195" s="60" t="n">
        <f aca="false">IF(R195=0,"",IFERROR(SUMPRODUCT(Normalizacao!$AL$5:$AL$17,Pesos_Indicadores!$I$5:$I$17,((Pesos_Indicadores!$B$5:$B$17=$A$12)*Q195+(Pesos_Indicadores!$B$5:$B$17&lt;&gt;$A$12)*Pesos_Indicadores!$G$5:$G$17*(1-Q195)/(1-$B$12)),Normalizacao!$AJ$5:$AJ$17)/R195,""))</f>
        <v>0.761978180416998</v>
      </c>
      <c r="U195" s="60" t="n">
        <f aca="false">IF(R195=0,"",IFERROR(SUMPRODUCT(Normalizacao!$AL$5:$AL$17,Pesos_Indicadores!$I$5:$I$17,((Pesos_Indicadores!$B$5:$B$17=$A$12)*Q195+(Pesos_Indicadores!$B$5:$B$17&lt;&gt;$A$12)*Pesos_Indicadores!$G$5:$G$17*(1-Q195)/(1-$B$12)),Normalizacao!$AK$5:$AK$17)/R195,""))</f>
        <v>0.818599849125933</v>
      </c>
      <c r="V195" s="17" t="str">
        <f aca="false">IF(S195="","",IF(INDEX(S195:U195,$B$5)&gt;=MAX(S195:U195),$B$4,INDEX(Pontuacao!$A$29:$A$31,MATCH(MAX(S195:U195),S195:U195,0))))</f>
        <v>Microsoft Azure</v>
      </c>
      <c r="W195" s="43" t="str">
        <f aca="false">IF(OR(V195="",V195=$B$4,ABS(Q195-$B$12)&lt;0.000000001),"",ABS(Q195-$B$12))</f>
        <v/>
      </c>
    </row>
    <row r="196" customFormat="false" ht="15" hidden="false" customHeight="true" outlineLevel="0" collapsed="false">
      <c r="A196" s="60" t="n">
        <f aca="false">(ROW()-17)*$B$6</f>
        <v>0.895</v>
      </c>
      <c r="B196" s="43" t="n">
        <f aca="false">IFERROR(SUMPRODUCT(Normalizacao!$AL$5:$AL$17,Pesos_Indicadores!$I$5:$I$17,((Pesos_Indicadores!$B$5:$B$17=$A$10)*A196+(Pesos_Indicadores!$B$5:$B$17&lt;&gt;$A$10)*Pesos_Indicadores!$G$5:$G$17*(1-A196)/(1-$B$10))),0)</f>
        <v>0.997576923076923</v>
      </c>
      <c r="C196" s="60" t="n">
        <f aca="false">IF(B196=0,"",IFERROR(SUMPRODUCT(Normalizacao!$AL$5:$AL$17,Pesos_Indicadores!$I$5:$I$17,((Pesos_Indicadores!$B$5:$B$17=$A$10)*A196+(Pesos_Indicadores!$B$5:$B$17&lt;&gt;$A$10)*Pesos_Indicadores!$G$5:$G$17*(1-A196)/(1-$B$10)),Normalizacao!$AI$5:$AI$17)/B196,""))</f>
        <v>0.644693688341289</v>
      </c>
      <c r="D196" s="60" t="n">
        <f aca="false">IF(B196=0,"",IFERROR(SUMPRODUCT(Normalizacao!$AL$5:$AL$17,Pesos_Indicadores!$I$5:$I$17,((Pesos_Indicadores!$B$5:$B$17=$A$10)*A196+(Pesos_Indicadores!$B$5:$B$17&lt;&gt;$A$10)*Pesos_Indicadores!$G$5:$G$17*(1-A196)/(1-$B$10)),Normalizacao!$AJ$5:$AJ$17)/B196,""))</f>
        <v>0.874707422332709</v>
      </c>
      <c r="E196" s="60" t="n">
        <f aca="false">IF(B196=0,"",IFERROR(SUMPRODUCT(Normalizacao!$AL$5:$AL$17,Pesos_Indicadores!$I$5:$I$17,((Pesos_Indicadores!$B$5:$B$17=$A$10)*A196+(Pesos_Indicadores!$B$5:$B$17&lt;&gt;$A$10)*Pesos_Indicadores!$G$5:$G$17*(1-A196)/(1-$B$10)),Normalizacao!$AK$5:$AK$17)/B196,""))</f>
        <v>0.885408530635999</v>
      </c>
      <c r="F196" s="17" t="str">
        <f aca="false">IF(C196="","",IF(INDEX(C196:E196,$B$5)&gt;=MAX(C196:E196),$B$4,INDEX(Pontuacao!$A$29:$A$31,MATCH(MAX(C196:E196),C196:E196,0))))</f>
        <v>Microsoft Azure</v>
      </c>
      <c r="G196" s="43" t="str">
        <f aca="false">IF(OR(F196="",F196=$B$4,ABS(A196-$B$10)&lt;0.000000001),"",ABS(A196-$B$10))</f>
        <v/>
      </c>
      <c r="I196" s="60" t="n">
        <f aca="false">(ROW()-17)*$B$6</f>
        <v>0.895</v>
      </c>
      <c r="J196" s="43" t="n">
        <f aca="false">IFERROR(SUMPRODUCT(Normalizacao!$AL$5:$AL$17,Pesos_Indicadores!$I$5:$I$17,((Pesos_Indicadores!$B$5:$B$17=$A$11)*I196+(Pesos_Indicadores!$B$5:$B$17&lt;&gt;$A$11)*Pesos_Indicadores!$G$5:$G$17*(1-I196)/(1-$B$11))),0)</f>
        <v>0.793461538461539</v>
      </c>
      <c r="K196" s="60" t="n">
        <f aca="false">IF(J196=0,"",IFERROR(SUMPRODUCT(Normalizacao!$AL$5:$AL$17,Pesos_Indicadores!$I$5:$I$17,((Pesos_Indicadores!$B$5:$B$17=$A$11)*I196+(Pesos_Indicadores!$B$5:$B$17&lt;&gt;$A$11)*Pesos_Indicadores!$G$5:$G$17*(1-I196)/(1-$B$11)),Normalizacao!$AI$5:$AI$17)/J196,""))</f>
        <v>0.835201652799515</v>
      </c>
      <c r="L196" s="60" t="n">
        <f aca="false">IF(J196=0,"",IFERROR(SUMPRODUCT(Normalizacao!$AL$5:$AL$17,Pesos_Indicadores!$I$5:$I$17,((Pesos_Indicadores!$B$5:$B$17=$A$11)*I196+(Pesos_Indicadores!$B$5:$B$17&lt;&gt;$A$11)*Pesos_Indicadores!$G$5:$G$17*(1-I196)/(1-$B$11)),Normalizacao!$AJ$5:$AJ$17)/J196,""))</f>
        <v>0.8385943144218</v>
      </c>
      <c r="M196" s="60" t="n">
        <f aca="false">IF(J196=0,"",IFERROR(SUMPRODUCT(Normalizacao!$AL$5:$AL$17,Pesos_Indicadores!$I$5:$I$17,((Pesos_Indicadores!$B$5:$B$17=$A$11)*I196+(Pesos_Indicadores!$B$5:$B$17&lt;&gt;$A$11)*Pesos_Indicadores!$G$5:$G$17*(1-I196)/(1-$B$11)),Normalizacao!$AK$5:$AK$17)/J196,""))</f>
        <v>0.845796127267841</v>
      </c>
      <c r="N196" s="17" t="str">
        <f aca="false">IF(K196="","",IF(INDEX(K196:M196,$B$5)&gt;=MAX(K196:M196),$B$4,INDEX(Pontuacao!$A$29:$A$31,MATCH(MAX(K196:M196),K196:M196,0))))</f>
        <v>Microsoft Azure</v>
      </c>
      <c r="O196" s="43" t="str">
        <f aca="false">IF(OR(N196="",N196=$B$4,ABS(I196-$B$11)&lt;0.000000001),"",ABS(I196-$B$11))</f>
        <v/>
      </c>
      <c r="Q196" s="60" t="n">
        <f aca="false">(ROW()-17)*$B$6</f>
        <v>0.895</v>
      </c>
      <c r="R196" s="43" t="n">
        <f aca="false">IFERROR(SUMPRODUCT(Normalizacao!$AL$5:$AL$17,Pesos_Indicadores!$I$5:$I$17,((Pesos_Indicadores!$B$5:$B$17=$A$12)*Q196+(Pesos_Indicadores!$B$5:$B$17&lt;&gt;$A$12)*Pesos_Indicadores!$G$5:$G$17*(1-Q196)/(1-$B$12))),0)</f>
        <v>0.987884615384615</v>
      </c>
      <c r="S196" s="60" t="n">
        <f aca="false">IF(R196=0,"",IFERROR(SUMPRODUCT(Normalizacao!$AL$5:$AL$17,Pesos_Indicadores!$I$5:$I$17,((Pesos_Indicadores!$B$5:$B$17=$A$12)*Q196+(Pesos_Indicadores!$B$5:$B$17&lt;&gt;$A$12)*Pesos_Indicadores!$G$5:$G$17*(1-Q196)/(1-$B$12)),Normalizacao!$AI$5:$AI$17)/R196,""))</f>
        <v>0.747802238126145</v>
      </c>
      <c r="T196" s="60" t="n">
        <f aca="false">IF(R196=0,"",IFERROR(SUMPRODUCT(Normalizacao!$AL$5:$AL$17,Pesos_Indicadores!$I$5:$I$17,((Pesos_Indicadores!$B$5:$B$17=$A$12)*Q196+(Pesos_Indicadores!$B$5:$B$17&lt;&gt;$A$12)*Pesos_Indicadores!$G$5:$G$17*(1-Q196)/(1-$B$12)),Normalizacao!$AJ$5:$AJ$17)/R196,""))</f>
        <v>0.761427040397458</v>
      </c>
      <c r="U196" s="60" t="n">
        <f aca="false">IF(R196=0,"",IFERROR(SUMPRODUCT(Normalizacao!$AL$5:$AL$17,Pesos_Indicadores!$I$5:$I$17,((Pesos_Indicadores!$B$5:$B$17=$A$12)*Q196+(Pesos_Indicadores!$B$5:$B$17&lt;&gt;$A$12)*Pesos_Indicadores!$G$5:$G$17*(1-Q196)/(1-$B$12)),Normalizacao!$AK$5:$AK$17)/R196,""))</f>
        <v>0.818319182877019</v>
      </c>
      <c r="V196" s="17" t="str">
        <f aca="false">IF(S196="","",IF(INDEX(S196:U196,$B$5)&gt;=MAX(S196:U196),$B$4,INDEX(Pontuacao!$A$29:$A$31,MATCH(MAX(S196:U196),S196:U196,0))))</f>
        <v>Microsoft Azure</v>
      </c>
      <c r="W196" s="43" t="str">
        <f aca="false">IF(OR(V196="",V196=$B$4,ABS(Q196-$B$12)&lt;0.000000001),"",ABS(Q196-$B$12))</f>
        <v/>
      </c>
    </row>
    <row r="197" customFormat="false" ht="15" hidden="false" customHeight="true" outlineLevel="0" collapsed="false">
      <c r="A197" s="60" t="n">
        <f aca="false">(ROW()-17)*$B$6</f>
        <v>0.9</v>
      </c>
      <c r="B197" s="43" t="n">
        <f aca="false">IFERROR(SUMPRODUCT(Normalizacao!$AL$5:$AL$17,Pesos_Indicadores!$I$5:$I$17,((Pesos_Indicadores!$B$5:$B$17=$A$10)*A197+(Pesos_Indicadores!$B$5:$B$17&lt;&gt;$A$10)*Pesos_Indicadores!$G$5:$G$17*(1-A197)/(1-$B$10))),0)</f>
        <v>0.997692307692308</v>
      </c>
      <c r="C197" s="60" t="n">
        <f aca="false">IF(B197=0,"",IFERROR(SUMPRODUCT(Normalizacao!$AL$5:$AL$17,Pesos_Indicadores!$I$5:$I$17,((Pesos_Indicadores!$B$5:$B$17=$A$10)*A197+(Pesos_Indicadores!$B$5:$B$17&lt;&gt;$A$10)*Pesos_Indicadores!$G$5:$G$17*(1-A197)/(1-$B$10)),Normalizacao!$AI$5:$AI$17)/B197,""))</f>
        <v>0.644074558609994</v>
      </c>
      <c r="D197" s="60" t="n">
        <f aca="false">IF(B197=0,"",IFERROR(SUMPRODUCT(Normalizacao!$AL$5:$AL$17,Pesos_Indicadores!$I$5:$I$17,((Pesos_Indicadores!$B$5:$B$17=$A$10)*A197+(Pesos_Indicadores!$B$5:$B$17&lt;&gt;$A$10)*Pesos_Indicadores!$G$5:$G$17*(1-A197)/(1-$B$10)),Normalizacao!$AJ$5:$AJ$17)/B197,""))</f>
        <v>0.875346535483222</v>
      </c>
      <c r="E197" s="60" t="n">
        <f aca="false">IF(B197=0,"",IFERROR(SUMPRODUCT(Normalizacao!$AL$5:$AL$17,Pesos_Indicadores!$I$5:$I$17,((Pesos_Indicadores!$B$5:$B$17=$A$10)*A197+(Pesos_Indicadores!$B$5:$B$17&lt;&gt;$A$10)*Pesos_Indicadores!$G$5:$G$17*(1-A197)/(1-$B$10)),Normalizacao!$AK$5:$AK$17)/B197,""))</f>
        <v>0.88579136441015</v>
      </c>
      <c r="F197" s="17" t="str">
        <f aca="false">IF(C197="","",IF(INDEX(C197:E197,$B$5)&gt;=MAX(C197:E197),$B$4,INDEX(Pontuacao!$A$29:$A$31,MATCH(MAX(C197:E197),C197:E197,0))))</f>
        <v>Microsoft Azure</v>
      </c>
      <c r="G197" s="43" t="str">
        <f aca="false">IF(OR(F197="",F197=$B$4,ABS(A197-$B$10)&lt;0.000000001),"",ABS(A197-$B$10))</f>
        <v/>
      </c>
      <c r="I197" s="60" t="n">
        <f aca="false">(ROW()-17)*$B$6</f>
        <v>0.9</v>
      </c>
      <c r="J197" s="43" t="n">
        <f aca="false">IFERROR(SUMPRODUCT(Normalizacao!$AL$5:$AL$17,Pesos_Indicadores!$I$5:$I$17,((Pesos_Indicadores!$B$5:$B$17=$A$11)*I197+(Pesos_Indicadores!$B$5:$B$17&lt;&gt;$A$11)*Pesos_Indicadores!$G$5:$G$17*(1-I197)/(1-$B$11))),0)</f>
        <v>0.792307692307692</v>
      </c>
      <c r="K197" s="60" t="n">
        <f aca="false">IF(J197=0,"",IFERROR(SUMPRODUCT(Normalizacao!$AL$5:$AL$17,Pesos_Indicadores!$I$5:$I$17,((Pesos_Indicadores!$B$5:$B$17=$A$11)*I197+(Pesos_Indicadores!$B$5:$B$17&lt;&gt;$A$11)*Pesos_Indicadores!$G$5:$G$17*(1-I197)/(1-$B$11)),Normalizacao!$AI$5:$AI$17)/J197,""))</f>
        <v>0.83588581124614</v>
      </c>
      <c r="L197" s="60" t="n">
        <f aca="false">IF(J197=0,"",IFERROR(SUMPRODUCT(Normalizacao!$AL$5:$AL$17,Pesos_Indicadores!$I$5:$I$17,((Pesos_Indicadores!$B$5:$B$17=$A$11)*I197+(Pesos_Indicadores!$B$5:$B$17&lt;&gt;$A$11)*Pesos_Indicadores!$G$5:$G$17*(1-I197)/(1-$B$11)),Normalizacao!$AJ$5:$AJ$17)/J197,""))</f>
        <v>0.8391216230477</v>
      </c>
      <c r="M197" s="60" t="n">
        <f aca="false">IF(J197=0,"",IFERROR(SUMPRODUCT(Normalizacao!$AL$5:$AL$17,Pesos_Indicadores!$I$5:$I$17,((Pesos_Indicadores!$B$5:$B$17=$A$11)*I197+(Pesos_Indicadores!$B$5:$B$17&lt;&gt;$A$11)*Pesos_Indicadores!$G$5:$G$17*(1-I197)/(1-$B$11)),Normalizacao!$AK$5:$AK$17)/J197,""))</f>
        <v>0.845973835854459</v>
      </c>
      <c r="N197" s="17" t="str">
        <f aca="false">IF(K197="","",IF(INDEX(K197:M197,$B$5)&gt;=MAX(K197:M197),$B$4,INDEX(Pontuacao!$A$29:$A$31,MATCH(MAX(K197:M197),K197:M197,0))))</f>
        <v>Microsoft Azure</v>
      </c>
      <c r="O197" s="43" t="str">
        <f aca="false">IF(OR(N197="",N197=$B$4,ABS(I197-$B$11)&lt;0.000000001),"",ABS(I197-$B$11))</f>
        <v/>
      </c>
      <c r="Q197" s="60" t="n">
        <f aca="false">(ROW()-17)*$B$6</f>
        <v>0.9</v>
      </c>
      <c r="R197" s="43" t="n">
        <f aca="false">IFERROR(SUMPRODUCT(Normalizacao!$AL$5:$AL$17,Pesos_Indicadores!$I$5:$I$17,((Pesos_Indicadores!$B$5:$B$17=$A$12)*Q197+(Pesos_Indicadores!$B$5:$B$17&lt;&gt;$A$12)*Pesos_Indicadores!$G$5:$G$17*(1-Q197)/(1-$B$12))),0)</f>
        <v>0.988461538461539</v>
      </c>
      <c r="S197" s="60" t="n">
        <f aca="false">IF(R197=0,"",IFERROR(SUMPRODUCT(Normalizacao!$AL$5:$AL$17,Pesos_Indicadores!$I$5:$I$17,((Pesos_Indicadores!$B$5:$B$17=$A$12)*Q197+(Pesos_Indicadores!$B$5:$B$17&lt;&gt;$A$12)*Pesos_Indicadores!$G$5:$G$17*(1-Q197)/(1-$B$12)),Normalizacao!$AI$5:$AI$17)/R197,""))</f>
        <v>0.747908115110988</v>
      </c>
      <c r="T197" s="60" t="n">
        <f aca="false">IF(R197=0,"",IFERROR(SUMPRODUCT(Normalizacao!$AL$5:$AL$17,Pesos_Indicadores!$I$5:$I$17,((Pesos_Indicadores!$B$5:$B$17=$A$12)*Q197+(Pesos_Indicadores!$B$5:$B$17&lt;&gt;$A$12)*Pesos_Indicadores!$G$5:$G$17*(1-Q197)/(1-$B$12)),Normalizacao!$AJ$5:$AJ$17)/R197,""))</f>
        <v>0.760876543732025</v>
      </c>
      <c r="U197" s="60" t="n">
        <f aca="false">IF(R197=0,"",IFERROR(SUMPRODUCT(Normalizacao!$AL$5:$AL$17,Pesos_Indicadores!$I$5:$I$17,((Pesos_Indicadores!$B$5:$B$17=$A$12)*Q197+(Pesos_Indicadores!$B$5:$B$17&lt;&gt;$A$12)*Pesos_Indicadores!$G$5:$G$17*(1-Q197)/(1-$B$12)),Normalizacao!$AK$5:$AK$17)/R197,""))</f>
        <v>0.818038844254075</v>
      </c>
      <c r="V197" s="17" t="str">
        <f aca="false">IF(S197="","",IF(INDEX(S197:U197,$B$5)&gt;=MAX(S197:U197),$B$4,INDEX(Pontuacao!$A$29:$A$31,MATCH(MAX(S197:U197),S197:U197,0))))</f>
        <v>Microsoft Azure</v>
      </c>
      <c r="W197" s="43" t="str">
        <f aca="false">IF(OR(V197="",V197=$B$4,ABS(Q197-$B$12)&lt;0.000000001),"",ABS(Q197-$B$12))</f>
        <v/>
      </c>
    </row>
    <row r="198" customFormat="false" ht="15" hidden="false" customHeight="true" outlineLevel="0" collapsed="false">
      <c r="A198" s="60" t="n">
        <f aca="false">(ROW()-17)*$B$6</f>
        <v>0.905</v>
      </c>
      <c r="B198" s="43" t="n">
        <f aca="false">IFERROR(SUMPRODUCT(Normalizacao!$AL$5:$AL$17,Pesos_Indicadores!$I$5:$I$17,((Pesos_Indicadores!$B$5:$B$17=$A$10)*A198+(Pesos_Indicadores!$B$5:$B$17&lt;&gt;$A$10)*Pesos_Indicadores!$G$5:$G$17*(1-A198)/(1-$B$10))),0)</f>
        <v>0.997807692307692</v>
      </c>
      <c r="C198" s="60" t="n">
        <f aca="false">IF(B198=0,"",IFERROR(SUMPRODUCT(Normalizacao!$AL$5:$AL$17,Pesos_Indicadores!$I$5:$I$17,((Pesos_Indicadores!$B$5:$B$17=$A$10)*A198+(Pesos_Indicadores!$B$5:$B$17&lt;&gt;$A$10)*Pesos_Indicadores!$G$5:$G$17*(1-A198)/(1-$B$10)),Normalizacao!$AI$5:$AI$17)/B198,""))</f>
        <v>0.643455572068708</v>
      </c>
      <c r="D198" s="60" t="n">
        <f aca="false">IF(B198=0,"",IFERROR(SUMPRODUCT(Normalizacao!$AL$5:$AL$17,Pesos_Indicadores!$I$5:$I$17,((Pesos_Indicadores!$B$5:$B$17=$A$10)*A198+(Pesos_Indicadores!$B$5:$B$17&lt;&gt;$A$10)*Pesos_Indicadores!$G$5:$G$17*(1-A198)/(1-$B$10)),Normalizacao!$AJ$5:$AJ$17)/B198,""))</f>
        <v>0.875985500822036</v>
      </c>
      <c r="E198" s="60" t="n">
        <f aca="false">IF(B198=0,"",IFERROR(SUMPRODUCT(Normalizacao!$AL$5:$AL$17,Pesos_Indicadores!$I$5:$I$17,((Pesos_Indicadores!$B$5:$B$17=$A$10)*A198+(Pesos_Indicadores!$B$5:$B$17&lt;&gt;$A$10)*Pesos_Indicadores!$G$5:$G$17*(1-A198)/(1-$B$10)),Normalizacao!$AK$5:$AK$17)/B198,""))</f>
        <v>0.886174109643937</v>
      </c>
      <c r="F198" s="17" t="str">
        <f aca="false">IF(C198="","",IF(INDEX(C198:E198,$B$5)&gt;=MAX(C198:E198),$B$4,INDEX(Pontuacao!$A$29:$A$31,MATCH(MAX(C198:E198),C198:E198,0))))</f>
        <v>Microsoft Azure</v>
      </c>
      <c r="G198" s="43" t="str">
        <f aca="false">IF(OR(F198="",F198=$B$4,ABS(A198-$B$10)&lt;0.000000001),"",ABS(A198-$B$10))</f>
        <v/>
      </c>
      <c r="I198" s="60" t="n">
        <f aca="false">(ROW()-17)*$B$6</f>
        <v>0.905</v>
      </c>
      <c r="J198" s="43" t="n">
        <f aca="false">IFERROR(SUMPRODUCT(Normalizacao!$AL$5:$AL$17,Pesos_Indicadores!$I$5:$I$17,((Pesos_Indicadores!$B$5:$B$17=$A$11)*I198+(Pesos_Indicadores!$B$5:$B$17&lt;&gt;$A$11)*Pesos_Indicadores!$G$5:$G$17*(1-I198)/(1-$B$11))),0)</f>
        <v>0.791153846153846</v>
      </c>
      <c r="K198" s="60" t="n">
        <f aca="false">IF(J198=0,"",IFERROR(SUMPRODUCT(Normalizacao!$AL$5:$AL$17,Pesos_Indicadores!$I$5:$I$17,((Pesos_Indicadores!$B$5:$B$17=$A$11)*I198+(Pesos_Indicadores!$B$5:$B$17&lt;&gt;$A$11)*Pesos_Indicadores!$G$5:$G$17*(1-I198)/(1-$B$11)),Normalizacao!$AI$5:$AI$17)/J198,""))</f>
        <v>0.836571965293483</v>
      </c>
      <c r="L198" s="60" t="n">
        <f aca="false">IF(J198=0,"",IFERROR(SUMPRODUCT(Normalizacao!$AL$5:$AL$17,Pesos_Indicadores!$I$5:$I$17,((Pesos_Indicadores!$B$5:$B$17=$A$11)*I198+(Pesos_Indicadores!$B$5:$B$17&lt;&gt;$A$11)*Pesos_Indicadores!$G$5:$G$17*(1-I198)/(1-$B$11)),Normalizacao!$AJ$5:$AJ$17)/J198,""))</f>
        <v>0.839650469763903</v>
      </c>
      <c r="M198" s="60" t="n">
        <f aca="false">IF(J198=0,"",IFERROR(SUMPRODUCT(Normalizacao!$AL$5:$AL$17,Pesos_Indicadores!$I$5:$I$17,((Pesos_Indicadores!$B$5:$B$17=$A$11)*I198+(Pesos_Indicadores!$B$5:$B$17&lt;&gt;$A$11)*Pesos_Indicadores!$G$5:$G$17*(1-I198)/(1-$B$11)),Normalizacao!$AK$5:$AK$17)/J198,""))</f>
        <v>0.846152062793785</v>
      </c>
      <c r="N198" s="17" t="str">
        <f aca="false">IF(K198="","",IF(INDEX(K198:M198,$B$5)&gt;=MAX(K198:M198),$B$4,INDEX(Pontuacao!$A$29:$A$31,MATCH(MAX(K198:M198),K198:M198,0))))</f>
        <v>Microsoft Azure</v>
      </c>
      <c r="O198" s="43" t="str">
        <f aca="false">IF(OR(N198="",N198=$B$4,ABS(I198-$B$11)&lt;0.000000001),"",ABS(I198-$B$11))</f>
        <v/>
      </c>
      <c r="Q198" s="60" t="n">
        <f aca="false">(ROW()-17)*$B$6</f>
        <v>0.905</v>
      </c>
      <c r="R198" s="43" t="n">
        <f aca="false">IFERROR(SUMPRODUCT(Normalizacao!$AL$5:$AL$17,Pesos_Indicadores!$I$5:$I$17,((Pesos_Indicadores!$B$5:$B$17=$A$12)*Q198+(Pesos_Indicadores!$B$5:$B$17&lt;&gt;$A$12)*Pesos_Indicadores!$G$5:$G$17*(1-Q198)/(1-$B$12))),0)</f>
        <v>0.989038461538462</v>
      </c>
      <c r="S198" s="60" t="n">
        <f aca="false">IF(R198=0,"",IFERROR(SUMPRODUCT(Normalizacao!$AL$5:$AL$17,Pesos_Indicadores!$I$5:$I$17,((Pesos_Indicadores!$B$5:$B$17=$A$12)*Q198+(Pesos_Indicadores!$B$5:$B$17&lt;&gt;$A$12)*Pesos_Indicadores!$G$5:$G$17*(1-Q198)/(1-$B$12)),Normalizacao!$AI$5:$AI$17)/R198,""))</f>
        <v>0.748013868576114</v>
      </c>
      <c r="T198" s="60" t="n">
        <f aca="false">IF(R198=0,"",IFERROR(SUMPRODUCT(Normalizacao!$AL$5:$AL$17,Pesos_Indicadores!$I$5:$I$17,((Pesos_Indicadores!$B$5:$B$17=$A$12)*Q198+(Pesos_Indicadores!$B$5:$B$17&lt;&gt;$A$12)*Pesos_Indicadores!$G$5:$G$17*(1-Q198)/(1-$B$12)),Normalizacao!$AJ$5:$AJ$17)/R198,""))</f>
        <v>0.760326689294863</v>
      </c>
      <c r="U198" s="60" t="n">
        <f aca="false">IF(R198=0,"",IFERROR(SUMPRODUCT(Normalizacao!$AL$5:$AL$17,Pesos_Indicadores!$I$5:$I$17,((Pesos_Indicadores!$B$5:$B$17=$A$12)*Q198+(Pesos_Indicadores!$B$5:$B$17&lt;&gt;$A$12)*Pesos_Indicadores!$G$5:$G$17*(1-Q198)/(1-$B$12)),Normalizacao!$AK$5:$AK$17)/R198,""))</f>
        <v>0.817758832683774</v>
      </c>
      <c r="V198" s="17" t="str">
        <f aca="false">IF(S198="","",IF(INDEX(S198:U198,$B$5)&gt;=MAX(S198:U198),$B$4,INDEX(Pontuacao!$A$29:$A$31,MATCH(MAX(S198:U198),S198:U198,0))))</f>
        <v>Microsoft Azure</v>
      </c>
      <c r="W198" s="43" t="str">
        <f aca="false">IF(OR(V198="",V198=$B$4,ABS(Q198-$B$12)&lt;0.000000001),"",ABS(Q198-$B$12))</f>
        <v/>
      </c>
    </row>
    <row r="199" customFormat="false" ht="15" hidden="false" customHeight="true" outlineLevel="0" collapsed="false">
      <c r="A199" s="60" t="n">
        <f aca="false">(ROW()-17)*$B$6</f>
        <v>0.91</v>
      </c>
      <c r="B199" s="43" t="n">
        <f aca="false">IFERROR(SUMPRODUCT(Normalizacao!$AL$5:$AL$17,Pesos_Indicadores!$I$5:$I$17,((Pesos_Indicadores!$B$5:$B$17=$A$10)*A199+(Pesos_Indicadores!$B$5:$B$17&lt;&gt;$A$10)*Pesos_Indicadores!$G$5:$G$17*(1-A199)/(1-$B$10))),0)</f>
        <v>0.997923076923077</v>
      </c>
      <c r="C199" s="60" t="n">
        <f aca="false">IF(B199=0,"",IFERROR(SUMPRODUCT(Normalizacao!$AL$5:$AL$17,Pesos_Indicadores!$I$5:$I$17,((Pesos_Indicadores!$B$5:$B$17=$A$10)*A199+(Pesos_Indicadores!$B$5:$B$17&lt;&gt;$A$10)*Pesos_Indicadores!$G$5:$G$17*(1-A199)/(1-$B$10)),Normalizacao!$AI$5:$AI$17)/B199,""))</f>
        <v>0.642836728667761</v>
      </c>
      <c r="D199" s="60" t="n">
        <f aca="false">IF(B199=0,"",IFERROR(SUMPRODUCT(Normalizacao!$AL$5:$AL$17,Pesos_Indicadores!$I$5:$I$17,((Pesos_Indicadores!$B$5:$B$17=$A$10)*A199+(Pesos_Indicadores!$B$5:$B$17&lt;&gt;$A$10)*Pesos_Indicadores!$G$5:$G$17*(1-A199)/(1-$B$10)),Normalizacao!$AJ$5:$AJ$17)/B199,""))</f>
        <v>0.876624318400424</v>
      </c>
      <c r="E199" s="60" t="n">
        <f aca="false">IF(B199=0,"",IFERROR(SUMPRODUCT(Normalizacao!$AL$5:$AL$17,Pesos_Indicadores!$I$5:$I$17,((Pesos_Indicadores!$B$5:$B$17=$A$10)*A199+(Pesos_Indicadores!$B$5:$B$17&lt;&gt;$A$10)*Pesos_Indicadores!$G$5:$G$17*(1-A199)/(1-$B$10)),Normalizacao!$AK$5:$AK$17)/B199,""))</f>
        <v>0.886556766368073</v>
      </c>
      <c r="F199" s="17" t="str">
        <f aca="false">IF(C199="","",IF(INDEX(C199:E199,$B$5)&gt;=MAX(C199:E199),$B$4,INDEX(Pontuacao!$A$29:$A$31,MATCH(MAX(C199:E199),C199:E199,0))))</f>
        <v>Microsoft Azure</v>
      </c>
      <c r="G199" s="43" t="str">
        <f aca="false">IF(OR(F199="",F199=$B$4,ABS(A199-$B$10)&lt;0.000000001),"",ABS(A199-$B$10))</f>
        <v/>
      </c>
      <c r="I199" s="60" t="n">
        <f aca="false">(ROW()-17)*$B$6</f>
        <v>0.91</v>
      </c>
      <c r="J199" s="43" t="n">
        <f aca="false">IFERROR(SUMPRODUCT(Normalizacao!$AL$5:$AL$17,Pesos_Indicadores!$I$5:$I$17,((Pesos_Indicadores!$B$5:$B$17=$A$11)*I199+(Pesos_Indicadores!$B$5:$B$17&lt;&gt;$A$11)*Pesos_Indicadores!$G$5:$G$17*(1-I199)/(1-$B$11))),0)</f>
        <v>0.79</v>
      </c>
      <c r="K199" s="60" t="n">
        <f aca="false">IF(J199=0,"",IFERROR(SUMPRODUCT(Normalizacao!$AL$5:$AL$17,Pesos_Indicadores!$I$5:$I$17,((Pesos_Indicadores!$B$5:$B$17=$A$11)*I199+(Pesos_Indicadores!$B$5:$B$17&lt;&gt;$A$11)*Pesos_Indicadores!$G$5:$G$17*(1-I199)/(1-$B$11)),Normalizacao!$AI$5:$AI$17)/J199,""))</f>
        <v>0.837260123685659</v>
      </c>
      <c r="L199" s="60" t="n">
        <f aca="false">IF(J199=0,"",IFERROR(SUMPRODUCT(Normalizacao!$AL$5:$AL$17,Pesos_Indicadores!$I$5:$I$17,((Pesos_Indicadores!$B$5:$B$17=$A$11)*I199+(Pesos_Indicadores!$B$5:$B$17&lt;&gt;$A$11)*Pesos_Indicadores!$G$5:$G$17*(1-I199)/(1-$B$11)),Normalizacao!$AJ$5:$AJ$17)/J199,""))</f>
        <v>0.840180861309851</v>
      </c>
      <c r="M199" s="60" t="n">
        <f aca="false">IF(J199=0,"",IFERROR(SUMPRODUCT(Normalizacao!$AL$5:$AL$17,Pesos_Indicadores!$I$5:$I$17,((Pesos_Indicadores!$B$5:$B$17=$A$11)*I199+(Pesos_Indicadores!$B$5:$B$17&lt;&gt;$A$11)*Pesos_Indicadores!$G$5:$G$17*(1-I199)/(1-$B$11)),Normalizacao!$AK$5:$AK$17)/J199,""))</f>
        <v>0.846330810357083</v>
      </c>
      <c r="N199" s="17" t="str">
        <f aca="false">IF(K199="","",IF(INDEX(K199:M199,$B$5)&gt;=MAX(K199:M199),$B$4,INDEX(Pontuacao!$A$29:$A$31,MATCH(MAX(K199:M199),K199:M199,0))))</f>
        <v>Microsoft Azure</v>
      </c>
      <c r="O199" s="43" t="str">
        <f aca="false">IF(OR(N199="",N199=$B$4,ABS(I199-$B$11)&lt;0.000000001),"",ABS(I199-$B$11))</f>
        <v/>
      </c>
      <c r="Q199" s="60" t="n">
        <f aca="false">(ROW()-17)*$B$6</f>
        <v>0.91</v>
      </c>
      <c r="R199" s="43" t="n">
        <f aca="false">IFERROR(SUMPRODUCT(Normalizacao!$AL$5:$AL$17,Pesos_Indicadores!$I$5:$I$17,((Pesos_Indicadores!$B$5:$B$17=$A$12)*Q199+(Pesos_Indicadores!$B$5:$B$17&lt;&gt;$A$12)*Pesos_Indicadores!$G$5:$G$17*(1-Q199)/(1-$B$12))),0)</f>
        <v>0.989615384615385</v>
      </c>
      <c r="S199" s="60" t="n">
        <f aca="false">IF(R199=0,"",IFERROR(SUMPRODUCT(Normalizacao!$AL$5:$AL$17,Pesos_Indicadores!$I$5:$I$17,((Pesos_Indicadores!$B$5:$B$17=$A$12)*Q199+(Pesos_Indicadores!$B$5:$B$17&lt;&gt;$A$12)*Pesos_Indicadores!$G$5:$G$17*(1-Q199)/(1-$B$12)),Normalizacao!$AI$5:$AI$17)/R199,""))</f>
        <v>0.74811949873755</v>
      </c>
      <c r="T199" s="60" t="n">
        <f aca="false">IF(R199=0,"",IFERROR(SUMPRODUCT(Normalizacao!$AL$5:$AL$17,Pesos_Indicadores!$I$5:$I$17,((Pesos_Indicadores!$B$5:$B$17=$A$12)*Q199+(Pesos_Indicadores!$B$5:$B$17&lt;&gt;$A$12)*Pesos_Indicadores!$G$5:$G$17*(1-Q199)/(1-$B$12)),Normalizacao!$AJ$5:$AJ$17)/R199,""))</f>
        <v>0.759777475962757</v>
      </c>
      <c r="U199" s="60" t="n">
        <f aca="false">IF(R199=0,"",IFERROR(SUMPRODUCT(Normalizacao!$AL$5:$AL$17,Pesos_Indicadores!$I$5:$I$17,((Pesos_Indicadores!$B$5:$B$17=$A$12)*Q199+(Pesos_Indicadores!$B$5:$B$17&lt;&gt;$A$12)*Pesos_Indicadores!$G$5:$G$17*(1-Q199)/(1-$B$12)),Normalizacao!$AK$5:$AK$17)/R199,""))</f>
        <v>0.817479147594122</v>
      </c>
      <c r="V199" s="17" t="str">
        <f aca="false">IF(S199="","",IF(INDEX(S199:U199,$B$5)&gt;=MAX(S199:U199),$B$4,INDEX(Pontuacao!$A$29:$A$31,MATCH(MAX(S199:U199),S199:U199,0))))</f>
        <v>Microsoft Azure</v>
      </c>
      <c r="W199" s="43" t="str">
        <f aca="false">IF(OR(V199="",V199=$B$4,ABS(Q199-$B$12)&lt;0.000000001),"",ABS(Q199-$B$12))</f>
        <v/>
      </c>
    </row>
    <row r="200" customFormat="false" ht="15" hidden="false" customHeight="true" outlineLevel="0" collapsed="false">
      <c r="A200" s="60" t="n">
        <f aca="false">(ROW()-17)*$B$6</f>
        <v>0.915</v>
      </c>
      <c r="B200" s="43" t="n">
        <f aca="false">IFERROR(SUMPRODUCT(Normalizacao!$AL$5:$AL$17,Pesos_Indicadores!$I$5:$I$17,((Pesos_Indicadores!$B$5:$B$17=$A$10)*A200+(Pesos_Indicadores!$B$5:$B$17&lt;&gt;$A$10)*Pesos_Indicadores!$G$5:$G$17*(1-A200)/(1-$B$10))),0)</f>
        <v>0.998038461538462</v>
      </c>
      <c r="C200" s="60" t="n">
        <f aca="false">IF(B200=0,"",IFERROR(SUMPRODUCT(Normalizacao!$AL$5:$AL$17,Pesos_Indicadores!$I$5:$I$17,((Pesos_Indicadores!$B$5:$B$17=$A$10)*A200+(Pesos_Indicadores!$B$5:$B$17&lt;&gt;$A$10)*Pesos_Indicadores!$G$5:$G$17*(1-A200)/(1-$B$10)),Normalizacao!$AI$5:$AI$17)/B200,""))</f>
        <v>0.642218028357508</v>
      </c>
      <c r="D200" s="60" t="n">
        <f aca="false">IF(B200=0,"",IFERROR(SUMPRODUCT(Normalizacao!$AL$5:$AL$17,Pesos_Indicadores!$I$5:$I$17,((Pesos_Indicadores!$B$5:$B$17=$A$10)*A200+(Pesos_Indicadores!$B$5:$B$17&lt;&gt;$A$10)*Pesos_Indicadores!$G$5:$G$17*(1-A200)/(1-$B$10)),Normalizacao!$AJ$5:$AJ$17)/B200,""))</f>
        <v>0.877262988269633</v>
      </c>
      <c r="E200" s="60" t="n">
        <f aca="false">IF(B200=0,"",IFERROR(SUMPRODUCT(Normalizacao!$AL$5:$AL$17,Pesos_Indicadores!$I$5:$I$17,((Pesos_Indicadores!$B$5:$B$17=$A$10)*A200+(Pesos_Indicadores!$B$5:$B$17&lt;&gt;$A$10)*Pesos_Indicadores!$G$5:$G$17*(1-A200)/(1-$B$10)),Normalizacao!$AK$5:$AK$17)/B200,""))</f>
        <v>0.886939334613256</v>
      </c>
      <c r="F200" s="17" t="str">
        <f aca="false">IF(C200="","",IF(INDEX(C200:E200,$B$5)&gt;=MAX(C200:E200),$B$4,INDEX(Pontuacao!$A$29:$A$31,MATCH(MAX(C200:E200),C200:E200,0))))</f>
        <v>Microsoft Azure</v>
      </c>
      <c r="G200" s="43" t="str">
        <f aca="false">IF(OR(F200="",F200=$B$4,ABS(A200-$B$10)&lt;0.000000001),"",ABS(A200-$B$10))</f>
        <v/>
      </c>
      <c r="I200" s="60" t="n">
        <f aca="false">(ROW()-17)*$B$6</f>
        <v>0.915</v>
      </c>
      <c r="J200" s="43" t="n">
        <f aca="false">IFERROR(SUMPRODUCT(Normalizacao!$AL$5:$AL$17,Pesos_Indicadores!$I$5:$I$17,((Pesos_Indicadores!$B$5:$B$17=$A$11)*I200+(Pesos_Indicadores!$B$5:$B$17&lt;&gt;$A$11)*Pesos_Indicadores!$G$5:$G$17*(1-I200)/(1-$B$11))),0)</f>
        <v>0.788846153846154</v>
      </c>
      <c r="K200" s="60" t="n">
        <f aca="false">IF(J200=0,"",IFERROR(SUMPRODUCT(Normalizacao!$AL$5:$AL$17,Pesos_Indicadores!$I$5:$I$17,((Pesos_Indicadores!$B$5:$B$17=$A$11)*I200+(Pesos_Indicadores!$B$5:$B$17&lt;&gt;$A$11)*Pesos_Indicadores!$G$5:$G$17*(1-I200)/(1-$B$11)),Normalizacao!$AI$5:$AI$17)/J200,""))</f>
        <v>0.837950295217938</v>
      </c>
      <c r="L200" s="60" t="n">
        <f aca="false">IF(J200=0,"",IFERROR(SUMPRODUCT(Normalizacao!$AL$5:$AL$17,Pesos_Indicadores!$I$5:$I$17,((Pesos_Indicadores!$B$5:$B$17=$A$11)*I200+(Pesos_Indicadores!$B$5:$B$17&lt;&gt;$A$11)*Pesos_Indicadores!$G$5:$G$17*(1-I200)/(1-$B$11)),Normalizacao!$AJ$5:$AJ$17)/J200,""))</f>
        <v>0.840712804464418</v>
      </c>
      <c r="M200" s="60" t="n">
        <f aca="false">IF(J200=0,"",IFERROR(SUMPRODUCT(Normalizacao!$AL$5:$AL$17,Pesos_Indicadores!$I$5:$I$17,((Pesos_Indicadores!$B$5:$B$17=$A$11)*I200+(Pesos_Indicadores!$B$5:$B$17&lt;&gt;$A$11)*Pesos_Indicadores!$G$5:$G$17*(1-I200)/(1-$B$11)),Normalizacao!$AK$5:$AK$17)/J200,""))</f>
        <v>0.846510080828902</v>
      </c>
      <c r="N200" s="17" t="str">
        <f aca="false">IF(K200="","",IF(INDEX(K200:M200,$B$5)&gt;=MAX(K200:M200),$B$4,INDEX(Pontuacao!$A$29:$A$31,MATCH(MAX(K200:M200),K200:M200,0))))</f>
        <v>Microsoft Azure</v>
      </c>
      <c r="O200" s="43" t="str">
        <f aca="false">IF(OR(N200="",N200=$B$4,ABS(I200-$B$11)&lt;0.000000001),"",ABS(I200-$B$11))</f>
        <v/>
      </c>
      <c r="Q200" s="60" t="n">
        <f aca="false">(ROW()-17)*$B$6</f>
        <v>0.915</v>
      </c>
      <c r="R200" s="43" t="n">
        <f aca="false">IFERROR(SUMPRODUCT(Normalizacao!$AL$5:$AL$17,Pesos_Indicadores!$I$5:$I$17,((Pesos_Indicadores!$B$5:$B$17=$A$12)*Q200+(Pesos_Indicadores!$B$5:$B$17&lt;&gt;$A$12)*Pesos_Indicadores!$G$5:$G$17*(1-Q200)/(1-$B$12))),0)</f>
        <v>0.990192307692308</v>
      </c>
      <c r="S200" s="60" t="n">
        <f aca="false">IF(R200=0,"",IFERROR(SUMPRODUCT(Normalizacao!$AL$5:$AL$17,Pesos_Indicadores!$I$5:$I$17,((Pesos_Indicadores!$B$5:$B$17=$A$12)*Q200+(Pesos_Indicadores!$B$5:$B$17&lt;&gt;$A$12)*Pesos_Indicadores!$G$5:$G$17*(1-Q200)/(1-$B$12)),Normalizacao!$AI$5:$AI$17)/R200,""))</f>
        <v>0.748225005810819</v>
      </c>
      <c r="T200" s="60" t="n">
        <f aca="false">IF(R200=0,"",IFERROR(SUMPRODUCT(Normalizacao!$AL$5:$AL$17,Pesos_Indicadores!$I$5:$I$17,((Pesos_Indicadores!$B$5:$B$17=$A$12)*Q200+(Pesos_Indicadores!$B$5:$B$17&lt;&gt;$A$12)*Pesos_Indicadores!$G$5:$G$17*(1-Q200)/(1-$B$12)),Normalizacao!$AJ$5:$AJ$17)/R200,""))</f>
        <v>0.759228902615113</v>
      </c>
      <c r="U200" s="60" t="n">
        <f aca="false">IF(R200=0,"",IFERROR(SUMPRODUCT(Normalizacao!$AL$5:$AL$17,Pesos_Indicadores!$I$5:$I$17,((Pesos_Indicadores!$B$5:$B$17=$A$12)*Q200+(Pesos_Indicadores!$B$5:$B$17&lt;&gt;$A$12)*Pesos_Indicadores!$G$5:$G$17*(1-Q200)/(1-$B$12)),Normalizacao!$AK$5:$AK$17)/R200,""))</f>
        <v>0.81719978841446</v>
      </c>
      <c r="V200" s="17" t="str">
        <f aca="false">IF(S200="","",IF(INDEX(S200:U200,$B$5)&gt;=MAX(S200:U200),$B$4,INDEX(Pontuacao!$A$29:$A$31,MATCH(MAX(S200:U200),S200:U200,0))))</f>
        <v>Microsoft Azure</v>
      </c>
      <c r="W200" s="43" t="str">
        <f aca="false">IF(OR(V200="",V200=$B$4,ABS(Q200-$B$12)&lt;0.000000001),"",ABS(Q200-$B$12))</f>
        <v/>
      </c>
    </row>
    <row r="201" customFormat="false" ht="15" hidden="false" customHeight="true" outlineLevel="0" collapsed="false">
      <c r="A201" s="60" t="n">
        <f aca="false">(ROW()-17)*$B$6</f>
        <v>0.92</v>
      </c>
      <c r="B201" s="43" t="n">
        <f aca="false">IFERROR(SUMPRODUCT(Normalizacao!$AL$5:$AL$17,Pesos_Indicadores!$I$5:$I$17,((Pesos_Indicadores!$B$5:$B$17=$A$10)*A201+(Pesos_Indicadores!$B$5:$B$17&lt;&gt;$A$10)*Pesos_Indicadores!$G$5:$G$17*(1-A201)/(1-$B$10))),0)</f>
        <v>0.998153846153846</v>
      </c>
      <c r="C201" s="60" t="n">
        <f aca="false">IF(B201=0,"",IFERROR(SUMPRODUCT(Normalizacao!$AL$5:$AL$17,Pesos_Indicadores!$I$5:$I$17,((Pesos_Indicadores!$B$5:$B$17=$A$10)*A201+(Pesos_Indicadores!$B$5:$B$17&lt;&gt;$A$10)*Pesos_Indicadores!$G$5:$G$17*(1-A201)/(1-$B$10)),Normalizacao!$AI$5:$AI$17)/B201,""))</f>
        <v>0.641599471088325</v>
      </c>
      <c r="D201" s="60" t="n">
        <f aca="false">IF(B201=0,"",IFERROR(SUMPRODUCT(Normalizacao!$AL$5:$AL$17,Pesos_Indicadores!$I$5:$I$17,((Pesos_Indicadores!$B$5:$B$17=$A$10)*A201+(Pesos_Indicadores!$B$5:$B$17&lt;&gt;$A$10)*Pesos_Indicadores!$G$5:$G$17*(1-A201)/(1-$B$10)),Normalizacao!$AJ$5:$AJ$17)/B201,""))</f>
        <v>0.877901510480888</v>
      </c>
      <c r="E201" s="60" t="n">
        <f aca="false">IF(B201=0,"",IFERROR(SUMPRODUCT(Normalizacao!$AL$5:$AL$17,Pesos_Indicadores!$I$5:$I$17,((Pesos_Indicadores!$B$5:$B$17=$A$10)*A201+(Pesos_Indicadores!$B$5:$B$17&lt;&gt;$A$10)*Pesos_Indicadores!$G$5:$G$17*(1-A201)/(1-$B$10)),Normalizacao!$AK$5:$AK$17)/B201,""))</f>
        <v>0.887321814410171</v>
      </c>
      <c r="F201" s="17" t="str">
        <f aca="false">IF(C201="","",IF(INDEX(C201:E201,$B$5)&gt;=MAX(C201:E201),$B$4,INDEX(Pontuacao!$A$29:$A$31,MATCH(MAX(C201:E201),C201:E201,0))))</f>
        <v>Microsoft Azure</v>
      </c>
      <c r="G201" s="43" t="str">
        <f aca="false">IF(OR(F201="",F201=$B$4,ABS(A201-$B$10)&lt;0.000000001),"",ABS(A201-$B$10))</f>
        <v/>
      </c>
      <c r="I201" s="60" t="n">
        <f aca="false">(ROW()-17)*$B$6</f>
        <v>0.92</v>
      </c>
      <c r="J201" s="43" t="n">
        <f aca="false">IFERROR(SUMPRODUCT(Normalizacao!$AL$5:$AL$17,Pesos_Indicadores!$I$5:$I$17,((Pesos_Indicadores!$B$5:$B$17=$A$11)*I201+(Pesos_Indicadores!$B$5:$B$17&lt;&gt;$A$11)*Pesos_Indicadores!$G$5:$G$17*(1-I201)/(1-$B$11))),0)</f>
        <v>0.787692307692308</v>
      </c>
      <c r="K201" s="60" t="n">
        <f aca="false">IF(J201=0,"",IFERROR(SUMPRODUCT(Normalizacao!$AL$5:$AL$17,Pesos_Indicadores!$I$5:$I$17,((Pesos_Indicadores!$B$5:$B$17=$A$11)*I201+(Pesos_Indicadores!$B$5:$B$17&lt;&gt;$A$11)*Pesos_Indicadores!$G$5:$G$17*(1-I201)/(1-$B$11)),Normalizacao!$AI$5:$AI$17)/J201,""))</f>
        <v>0.838642488737128</v>
      </c>
      <c r="L201" s="60" t="n">
        <f aca="false">IF(J201=0,"",IFERROR(SUMPRODUCT(Normalizacao!$AL$5:$AL$17,Pesos_Indicadores!$I$5:$I$17,((Pesos_Indicadores!$B$5:$B$17=$A$11)*I201+(Pesos_Indicadores!$B$5:$B$17&lt;&gt;$A$11)*Pesos_Indicadores!$G$5:$G$17*(1-I201)/(1-$B$11)),Normalizacao!$AJ$5:$AJ$17)/J201,""))</f>
        <v>0.841246306046196</v>
      </c>
      <c r="M201" s="60" t="n">
        <f aca="false">IF(J201=0,"",IFERROR(SUMPRODUCT(Normalizacao!$AL$5:$AL$17,Pesos_Indicadores!$I$5:$I$17,((Pesos_Indicadores!$B$5:$B$17=$A$11)*I201+(Pesos_Indicadores!$B$5:$B$17&lt;&gt;$A$11)*Pesos_Indicadores!$G$5:$G$17*(1-I201)/(1-$B$11)),Normalizacao!$AK$5:$AK$17)/J201,""))</f>
        <v>0.846689876507182</v>
      </c>
      <c r="N201" s="17" t="str">
        <f aca="false">IF(K201="","",IF(INDEX(K201:M201,$B$5)&gt;=MAX(K201:M201),$B$4,INDEX(Pontuacao!$A$29:$A$31,MATCH(MAX(K201:M201),K201:M201,0))))</f>
        <v>Microsoft Azure</v>
      </c>
      <c r="O201" s="43" t="str">
        <f aca="false">IF(OR(N201="",N201=$B$4,ABS(I201-$B$11)&lt;0.000000001),"",ABS(I201-$B$11))</f>
        <v/>
      </c>
      <c r="Q201" s="60" t="n">
        <f aca="false">(ROW()-17)*$B$6</f>
        <v>0.92</v>
      </c>
      <c r="R201" s="43" t="n">
        <f aca="false">IFERROR(SUMPRODUCT(Normalizacao!$AL$5:$AL$17,Pesos_Indicadores!$I$5:$I$17,((Pesos_Indicadores!$B$5:$B$17=$A$12)*Q201+(Pesos_Indicadores!$B$5:$B$17&lt;&gt;$A$12)*Pesos_Indicadores!$G$5:$G$17*(1-Q201)/(1-$B$12))),0)</f>
        <v>0.990769230769231</v>
      </c>
      <c r="S201" s="60" t="n">
        <f aca="false">IF(R201=0,"",IFERROR(SUMPRODUCT(Normalizacao!$AL$5:$AL$17,Pesos_Indicadores!$I$5:$I$17,((Pesos_Indicadores!$B$5:$B$17=$A$12)*Q201+(Pesos_Indicadores!$B$5:$B$17&lt;&gt;$A$12)*Pesos_Indicadores!$G$5:$G$17*(1-Q201)/(1-$B$12)),Normalizacao!$AI$5:$AI$17)/R201,""))</f>
        <v>0.748330390010944</v>
      </c>
      <c r="T201" s="60" t="n">
        <f aca="false">IF(R201=0,"",IFERROR(SUMPRODUCT(Normalizacao!$AL$5:$AL$17,Pesos_Indicadores!$I$5:$I$17,((Pesos_Indicadores!$B$5:$B$17=$A$12)*Q201+(Pesos_Indicadores!$B$5:$B$17&lt;&gt;$A$12)*Pesos_Indicadores!$G$5:$G$17*(1-Q201)/(1-$B$12)),Normalizacao!$AJ$5:$AJ$17)/R201,""))</f>
        <v>0.758680968133946</v>
      </c>
      <c r="U201" s="60" t="n">
        <f aca="false">IF(R201=0,"",IFERROR(SUMPRODUCT(Normalizacao!$AL$5:$AL$17,Pesos_Indicadores!$I$5:$I$17,((Pesos_Indicadores!$B$5:$B$17=$A$12)*Q201+(Pesos_Indicadores!$B$5:$B$17&lt;&gt;$A$12)*Pesos_Indicadores!$G$5:$G$17*(1-Q201)/(1-$B$12)),Normalizacao!$AK$5:$AK$17)/R201,""))</f>
        <v>0.816920754575458</v>
      </c>
      <c r="V201" s="17" t="str">
        <f aca="false">IF(S201="","",IF(INDEX(S201:U201,$B$5)&gt;=MAX(S201:U201),$B$4,INDEX(Pontuacao!$A$29:$A$31,MATCH(MAX(S201:U201),S201:U201,0))))</f>
        <v>Microsoft Azure</v>
      </c>
      <c r="W201" s="43" t="str">
        <f aca="false">IF(OR(V201="",V201=$B$4,ABS(Q201-$B$12)&lt;0.000000001),"",ABS(Q201-$B$12))</f>
        <v/>
      </c>
    </row>
    <row r="202" customFormat="false" ht="15" hidden="false" customHeight="true" outlineLevel="0" collapsed="false">
      <c r="A202" s="60" t="n">
        <f aca="false">(ROW()-17)*$B$6</f>
        <v>0.925</v>
      </c>
      <c r="B202" s="43" t="n">
        <f aca="false">IFERROR(SUMPRODUCT(Normalizacao!$AL$5:$AL$17,Pesos_Indicadores!$I$5:$I$17,((Pesos_Indicadores!$B$5:$B$17=$A$10)*A202+(Pesos_Indicadores!$B$5:$B$17&lt;&gt;$A$10)*Pesos_Indicadores!$G$5:$G$17*(1-A202)/(1-$B$10))),0)</f>
        <v>0.998269230769231</v>
      </c>
      <c r="C202" s="60" t="n">
        <f aca="false">IF(B202=0,"",IFERROR(SUMPRODUCT(Normalizacao!$AL$5:$AL$17,Pesos_Indicadores!$I$5:$I$17,((Pesos_Indicadores!$B$5:$B$17=$A$10)*A202+(Pesos_Indicadores!$B$5:$B$17&lt;&gt;$A$10)*Pesos_Indicadores!$G$5:$G$17*(1-A202)/(1-$B$10)),Normalizacao!$AI$5:$AI$17)/B202,""))</f>
        <v>0.640981056810613</v>
      </c>
      <c r="D202" s="60" t="n">
        <f aca="false">IF(B202=0,"",IFERROR(SUMPRODUCT(Normalizacao!$AL$5:$AL$17,Pesos_Indicadores!$I$5:$I$17,((Pesos_Indicadores!$B$5:$B$17=$A$10)*A202+(Pesos_Indicadores!$B$5:$B$17&lt;&gt;$A$10)*Pesos_Indicadores!$G$5:$G$17*(1-A202)/(1-$B$10)),Normalizacao!$AJ$5:$AJ$17)/B202,""))</f>
        <v>0.87853988508539</v>
      </c>
      <c r="E202" s="60" t="n">
        <f aca="false">IF(B202=0,"",IFERROR(SUMPRODUCT(Normalizacao!$AL$5:$AL$17,Pesos_Indicadores!$I$5:$I$17,((Pesos_Indicadores!$B$5:$B$17=$A$10)*A202+(Pesos_Indicadores!$B$5:$B$17&lt;&gt;$A$10)*Pesos_Indicadores!$G$5:$G$17*(1-A202)/(1-$B$10)),Normalizacao!$AK$5:$AK$17)/B202,""))</f>
        <v>0.887704205789487</v>
      </c>
      <c r="F202" s="17" t="str">
        <f aca="false">IF(C202="","",IF(INDEX(C202:E202,$B$5)&gt;=MAX(C202:E202),$B$4,INDEX(Pontuacao!$A$29:$A$31,MATCH(MAX(C202:E202),C202:E202,0))))</f>
        <v>Microsoft Azure</v>
      </c>
      <c r="G202" s="43" t="str">
        <f aca="false">IF(OR(F202="",F202=$B$4,ABS(A202-$B$10)&lt;0.000000001),"",ABS(A202-$B$10))</f>
        <v/>
      </c>
      <c r="I202" s="60" t="n">
        <f aca="false">(ROW()-17)*$B$6</f>
        <v>0.925</v>
      </c>
      <c r="J202" s="43" t="n">
        <f aca="false">IFERROR(SUMPRODUCT(Normalizacao!$AL$5:$AL$17,Pesos_Indicadores!$I$5:$I$17,((Pesos_Indicadores!$B$5:$B$17=$A$11)*I202+(Pesos_Indicadores!$B$5:$B$17&lt;&gt;$A$11)*Pesos_Indicadores!$G$5:$G$17*(1-I202)/(1-$B$11))),0)</f>
        <v>0.786538461538462</v>
      </c>
      <c r="K202" s="60" t="n">
        <f aca="false">IF(J202=0,"",IFERROR(SUMPRODUCT(Normalizacao!$AL$5:$AL$17,Pesos_Indicadores!$I$5:$I$17,((Pesos_Indicadores!$B$5:$B$17=$A$11)*I202+(Pesos_Indicadores!$B$5:$B$17&lt;&gt;$A$11)*Pesos_Indicadores!$G$5:$G$17*(1-I202)/(1-$B$11)),Normalizacao!$AI$5:$AI$17)/J202,""))</f>
        <v>0.839336713141949</v>
      </c>
      <c r="L202" s="60" t="n">
        <f aca="false">IF(J202=0,"",IFERROR(SUMPRODUCT(Normalizacao!$AL$5:$AL$17,Pesos_Indicadores!$I$5:$I$17,((Pesos_Indicadores!$B$5:$B$17=$A$11)*I202+(Pesos_Indicadores!$B$5:$B$17&lt;&gt;$A$11)*Pesos_Indicadores!$G$5:$G$17*(1-I202)/(1-$B$11)),Normalizacao!$AJ$5:$AJ$17)/J202,""))</f>
        <v>0.841781372913788</v>
      </c>
      <c r="M202" s="60" t="n">
        <f aca="false">IF(J202=0,"",IFERROR(SUMPRODUCT(Normalizacao!$AL$5:$AL$17,Pesos_Indicadores!$I$5:$I$17,((Pesos_Indicadores!$B$5:$B$17=$A$11)*I202+(Pesos_Indicadores!$B$5:$B$17&lt;&gt;$A$11)*Pesos_Indicadores!$G$5:$G$17*(1-I202)/(1-$B$11)),Normalizacao!$AK$5:$AK$17)/J202,""))</f>
        <v>0.846870199703344</v>
      </c>
      <c r="N202" s="17" t="str">
        <f aca="false">IF(K202="","",IF(INDEX(K202:M202,$B$5)&gt;=MAX(K202:M202),$B$4,INDEX(Pontuacao!$A$29:$A$31,MATCH(MAX(K202:M202),K202:M202,0))))</f>
        <v>Microsoft Azure</v>
      </c>
      <c r="O202" s="43" t="str">
        <f aca="false">IF(OR(N202="",N202=$B$4,ABS(I202-$B$11)&lt;0.000000001),"",ABS(I202-$B$11))</f>
        <v/>
      </c>
      <c r="Q202" s="60" t="n">
        <f aca="false">(ROW()-17)*$B$6</f>
        <v>0.925</v>
      </c>
      <c r="R202" s="43" t="n">
        <f aca="false">IFERROR(SUMPRODUCT(Normalizacao!$AL$5:$AL$17,Pesos_Indicadores!$I$5:$I$17,((Pesos_Indicadores!$B$5:$B$17=$A$12)*Q202+(Pesos_Indicadores!$B$5:$B$17&lt;&gt;$A$12)*Pesos_Indicadores!$G$5:$G$17*(1-Q202)/(1-$B$12))),0)</f>
        <v>0.991346153846154</v>
      </c>
      <c r="S202" s="60" t="n">
        <f aca="false">IF(R202=0,"",IFERROR(SUMPRODUCT(Normalizacao!$AL$5:$AL$17,Pesos_Indicadores!$I$5:$I$17,((Pesos_Indicadores!$B$5:$B$17=$A$12)*Q202+(Pesos_Indicadores!$B$5:$B$17&lt;&gt;$A$12)*Pesos_Indicadores!$G$5:$G$17*(1-Q202)/(1-$B$12)),Normalizacao!$AI$5:$AI$17)/R202,""))</f>
        <v>0.748435651552446</v>
      </c>
      <c r="T202" s="60" t="n">
        <f aca="false">IF(R202=0,"",IFERROR(SUMPRODUCT(Normalizacao!$AL$5:$AL$17,Pesos_Indicadores!$I$5:$I$17,((Pesos_Indicadores!$B$5:$B$17=$A$12)*Q202+(Pesos_Indicadores!$B$5:$B$17&lt;&gt;$A$12)*Pesos_Indicadores!$G$5:$G$17*(1-Q202)/(1-$B$12)),Normalizacao!$AJ$5:$AJ$17)/R202,""))</f>
        <v>0.758133671403871</v>
      </c>
      <c r="U202" s="60" t="n">
        <f aca="false">IF(R202=0,"",IFERROR(SUMPRODUCT(Normalizacao!$AL$5:$AL$17,Pesos_Indicadores!$I$5:$I$17,((Pesos_Indicadores!$B$5:$B$17=$A$12)*Q202+(Pesos_Indicadores!$B$5:$B$17&lt;&gt;$A$12)*Pesos_Indicadores!$G$5:$G$17*(1-Q202)/(1-$B$12)),Normalizacao!$AK$5:$AK$17)/R202,""))</f>
        <v>0.81664204550911</v>
      </c>
      <c r="V202" s="17" t="str">
        <f aca="false">IF(S202="","",IF(INDEX(S202:U202,$B$5)&gt;=MAX(S202:U202),$B$4,INDEX(Pontuacao!$A$29:$A$31,MATCH(MAX(S202:U202),S202:U202,0))))</f>
        <v>Microsoft Azure</v>
      </c>
      <c r="W202" s="43" t="str">
        <f aca="false">IF(OR(V202="",V202=$B$4,ABS(Q202-$B$12)&lt;0.000000001),"",ABS(Q202-$B$12))</f>
        <v/>
      </c>
    </row>
    <row r="203" customFormat="false" ht="15" hidden="false" customHeight="true" outlineLevel="0" collapsed="false">
      <c r="A203" s="60" t="n">
        <f aca="false">(ROW()-17)*$B$6</f>
        <v>0.93</v>
      </c>
      <c r="B203" s="43" t="n">
        <f aca="false">IFERROR(SUMPRODUCT(Normalizacao!$AL$5:$AL$17,Pesos_Indicadores!$I$5:$I$17,((Pesos_Indicadores!$B$5:$B$17=$A$10)*A203+(Pesos_Indicadores!$B$5:$B$17&lt;&gt;$A$10)*Pesos_Indicadores!$G$5:$G$17*(1-A203)/(1-$B$10))),0)</f>
        <v>0.998384615384615</v>
      </c>
      <c r="C203" s="60" t="n">
        <f aca="false">IF(B203=0,"",IFERROR(SUMPRODUCT(Normalizacao!$AL$5:$AL$17,Pesos_Indicadores!$I$5:$I$17,((Pesos_Indicadores!$B$5:$B$17=$A$10)*A203+(Pesos_Indicadores!$B$5:$B$17&lt;&gt;$A$10)*Pesos_Indicadores!$G$5:$G$17*(1-A203)/(1-$B$10)),Normalizacao!$AI$5:$AI$17)/B203,""))</f>
        <v>0.640362785474794</v>
      </c>
      <c r="D203" s="60" t="n">
        <f aca="false">IF(B203=0,"",IFERROR(SUMPRODUCT(Normalizacao!$AL$5:$AL$17,Pesos_Indicadores!$I$5:$I$17,((Pesos_Indicadores!$B$5:$B$17=$A$10)*A203+(Pesos_Indicadores!$B$5:$B$17&lt;&gt;$A$10)*Pesos_Indicadores!$G$5:$G$17*(1-A203)/(1-$B$10)),Normalizacao!$AJ$5:$AJ$17)/B203,""))</f>
        <v>0.879178112134317</v>
      </c>
      <c r="E203" s="60" t="n">
        <f aca="false">IF(B203=0,"",IFERROR(SUMPRODUCT(Normalizacao!$AL$5:$AL$17,Pesos_Indicadores!$I$5:$I$17,((Pesos_Indicadores!$B$5:$B$17=$A$10)*A203+(Pesos_Indicadores!$B$5:$B$17&lt;&gt;$A$10)*Pesos_Indicadores!$G$5:$G$17*(1-A203)/(1-$B$10)),Normalizacao!$AK$5:$AK$17)/B203,""))</f>
        <v>0.888086508781859</v>
      </c>
      <c r="F203" s="17" t="str">
        <f aca="false">IF(C203="","",IF(INDEX(C203:E203,$B$5)&gt;=MAX(C203:E203),$B$4,INDEX(Pontuacao!$A$29:$A$31,MATCH(MAX(C203:E203),C203:E203,0))))</f>
        <v>Microsoft Azure</v>
      </c>
      <c r="G203" s="43" t="str">
        <f aca="false">IF(OR(F203="",F203=$B$4,ABS(A203-$B$10)&lt;0.000000001),"",ABS(A203-$B$10))</f>
        <v/>
      </c>
      <c r="I203" s="60" t="n">
        <f aca="false">(ROW()-17)*$B$6</f>
        <v>0.93</v>
      </c>
      <c r="J203" s="43" t="n">
        <f aca="false">IFERROR(SUMPRODUCT(Normalizacao!$AL$5:$AL$17,Pesos_Indicadores!$I$5:$I$17,((Pesos_Indicadores!$B$5:$B$17=$A$11)*I203+(Pesos_Indicadores!$B$5:$B$17&lt;&gt;$A$11)*Pesos_Indicadores!$G$5:$G$17*(1-I203)/(1-$B$11))),0)</f>
        <v>0.785384615384616</v>
      </c>
      <c r="K203" s="60" t="n">
        <f aca="false">IF(J203=0,"",IFERROR(SUMPRODUCT(Normalizacao!$AL$5:$AL$17,Pesos_Indicadores!$I$5:$I$17,((Pesos_Indicadores!$B$5:$B$17=$A$11)*I203+(Pesos_Indicadores!$B$5:$B$17&lt;&gt;$A$11)*Pesos_Indicadores!$G$5:$G$17*(1-I203)/(1-$B$11)),Normalizacao!$AI$5:$AI$17)/J203,""))</f>
        <v>0.840032977383415</v>
      </c>
      <c r="L203" s="60" t="n">
        <f aca="false">IF(J203=0,"",IFERROR(SUMPRODUCT(Normalizacao!$AL$5:$AL$17,Pesos_Indicadores!$I$5:$I$17,((Pesos_Indicadores!$B$5:$B$17=$A$11)*I203+(Pesos_Indicadores!$B$5:$B$17&lt;&gt;$A$11)*Pesos_Indicadores!$G$5:$G$17*(1-I203)/(1-$B$11)),Normalizacao!$AJ$5:$AJ$17)/J203,""))</f>
        <v>0.842318011966103</v>
      </c>
      <c r="M203" s="60" t="n">
        <f aca="false">IF(J203=0,"",IFERROR(SUMPRODUCT(Normalizacao!$AL$5:$AL$17,Pesos_Indicadores!$I$5:$I$17,((Pesos_Indicadores!$B$5:$B$17=$A$11)*I203+(Pesos_Indicadores!$B$5:$B$17&lt;&gt;$A$11)*Pesos_Indicadores!$G$5:$G$17*(1-I203)/(1-$B$11)),Normalizacao!$AK$5:$AK$17)/J203,""))</f>
        <v>0.847051052742395</v>
      </c>
      <c r="N203" s="17" t="str">
        <f aca="false">IF(K203="","",IF(INDEX(K203:M203,$B$5)&gt;=MAX(K203:M203),$B$4,INDEX(Pontuacao!$A$29:$A$31,MATCH(MAX(K203:M203),K203:M203,0))))</f>
        <v>Microsoft Azure</v>
      </c>
      <c r="O203" s="43" t="str">
        <f aca="false">IF(OR(N203="",N203=$B$4,ABS(I203-$B$11)&lt;0.000000001),"",ABS(I203-$B$11))</f>
        <v/>
      </c>
      <c r="Q203" s="60" t="n">
        <f aca="false">(ROW()-17)*$B$6</f>
        <v>0.93</v>
      </c>
      <c r="R203" s="43" t="n">
        <f aca="false">IFERROR(SUMPRODUCT(Normalizacao!$AL$5:$AL$17,Pesos_Indicadores!$I$5:$I$17,((Pesos_Indicadores!$B$5:$B$17=$A$12)*Q203+(Pesos_Indicadores!$B$5:$B$17&lt;&gt;$A$12)*Pesos_Indicadores!$G$5:$G$17*(1-Q203)/(1-$B$12))),0)</f>
        <v>0.991923076923077</v>
      </c>
      <c r="S203" s="60" t="n">
        <f aca="false">IF(R203=0,"",IFERROR(SUMPRODUCT(Normalizacao!$AL$5:$AL$17,Pesos_Indicadores!$I$5:$I$17,((Pesos_Indicadores!$B$5:$B$17=$A$12)*Q203+(Pesos_Indicadores!$B$5:$B$17&lt;&gt;$A$12)*Pesos_Indicadores!$G$5:$G$17*(1-Q203)/(1-$B$12)),Normalizacao!$AI$5:$AI$17)/R203,""))</f>
        <v>0.748540790649348</v>
      </c>
      <c r="T203" s="60" t="n">
        <f aca="false">IF(R203=0,"",IFERROR(SUMPRODUCT(Normalizacao!$AL$5:$AL$17,Pesos_Indicadores!$I$5:$I$17,((Pesos_Indicadores!$B$5:$B$17=$A$12)*Q203+(Pesos_Indicadores!$B$5:$B$17&lt;&gt;$A$12)*Pesos_Indicadores!$G$5:$G$17*(1-Q203)/(1-$B$12)),Normalizacao!$AJ$5:$AJ$17)/R203,""))</f>
        <v>0.757587011312103</v>
      </c>
      <c r="U203" s="60" t="n">
        <f aca="false">IF(R203=0,"",IFERROR(SUMPRODUCT(Normalizacao!$AL$5:$AL$17,Pesos_Indicadores!$I$5:$I$17,((Pesos_Indicadores!$B$5:$B$17=$A$12)*Q203+(Pesos_Indicadores!$B$5:$B$17&lt;&gt;$A$12)*Pesos_Indicadores!$G$5:$G$17*(1-Q203)/(1-$B$12)),Normalizacao!$AK$5:$AK$17)/R203,""))</f>
        <v>0.816363660648733</v>
      </c>
      <c r="V203" s="17" t="str">
        <f aca="false">IF(S203="","",IF(INDEX(S203:U203,$B$5)&gt;=MAX(S203:U203),$B$4,INDEX(Pontuacao!$A$29:$A$31,MATCH(MAX(S203:U203),S203:U203,0))))</f>
        <v>Microsoft Azure</v>
      </c>
      <c r="W203" s="43" t="str">
        <f aca="false">IF(OR(V203="",V203=$B$4,ABS(Q203-$B$12)&lt;0.000000001),"",ABS(Q203-$B$12))</f>
        <v/>
      </c>
    </row>
    <row r="204" customFormat="false" ht="15" hidden="false" customHeight="true" outlineLevel="0" collapsed="false">
      <c r="A204" s="60" t="n">
        <f aca="false">(ROW()-17)*$B$6</f>
        <v>0.935</v>
      </c>
      <c r="B204" s="43" t="n">
        <f aca="false">IFERROR(SUMPRODUCT(Normalizacao!$AL$5:$AL$17,Pesos_Indicadores!$I$5:$I$17,((Pesos_Indicadores!$B$5:$B$17=$A$10)*A204+(Pesos_Indicadores!$B$5:$B$17&lt;&gt;$A$10)*Pesos_Indicadores!$G$5:$G$17*(1-A204)/(1-$B$10))),0)</f>
        <v>0.9985</v>
      </c>
      <c r="C204" s="60" t="n">
        <f aca="false">IF(B204=0,"",IFERROR(SUMPRODUCT(Normalizacao!$AL$5:$AL$17,Pesos_Indicadores!$I$5:$I$17,((Pesos_Indicadores!$B$5:$B$17=$A$10)*A204+(Pesos_Indicadores!$B$5:$B$17&lt;&gt;$A$10)*Pesos_Indicadores!$G$5:$G$17*(1-A204)/(1-$B$10)),Normalizacao!$AI$5:$AI$17)/B204,""))</f>
        <v>0.639744657031314</v>
      </c>
      <c r="D204" s="60" t="n">
        <f aca="false">IF(B204=0,"",IFERROR(SUMPRODUCT(Normalizacao!$AL$5:$AL$17,Pesos_Indicadores!$I$5:$I$17,((Pesos_Indicadores!$B$5:$B$17=$A$10)*A204+(Pesos_Indicadores!$B$5:$B$17&lt;&gt;$A$10)*Pesos_Indicadores!$G$5:$G$17*(1-A204)/(1-$B$10)),Normalizacao!$AJ$5:$AJ$17)/B204,""))</f>
        <v>0.879816191678823</v>
      </c>
      <c r="E204" s="60" t="n">
        <f aca="false">IF(B204=0,"",IFERROR(SUMPRODUCT(Normalizacao!$AL$5:$AL$17,Pesos_Indicadores!$I$5:$I$17,((Pesos_Indicadores!$B$5:$B$17=$A$10)*A204+(Pesos_Indicadores!$B$5:$B$17&lt;&gt;$A$10)*Pesos_Indicadores!$G$5:$G$17*(1-A204)/(1-$B$10)),Normalizacao!$AK$5:$AK$17)/B204,""))</f>
        <v>0.88846872341793</v>
      </c>
      <c r="F204" s="17" t="str">
        <f aca="false">IF(C204="","",IF(INDEX(C204:E204,$B$5)&gt;=MAX(C204:E204),$B$4,INDEX(Pontuacao!$A$29:$A$31,MATCH(MAX(C204:E204),C204:E204,0))))</f>
        <v>Microsoft Azure</v>
      </c>
      <c r="G204" s="43" t="str">
        <f aca="false">IF(OR(F204="",F204=$B$4,ABS(A204-$B$10)&lt;0.000000001),"",ABS(A204-$B$10))</f>
        <v/>
      </c>
      <c r="I204" s="60" t="n">
        <f aca="false">(ROW()-17)*$B$6</f>
        <v>0.935</v>
      </c>
      <c r="J204" s="43" t="n">
        <f aca="false">IFERROR(SUMPRODUCT(Normalizacao!$AL$5:$AL$17,Pesos_Indicadores!$I$5:$I$17,((Pesos_Indicadores!$B$5:$B$17=$A$11)*I204+(Pesos_Indicadores!$B$5:$B$17&lt;&gt;$A$11)*Pesos_Indicadores!$G$5:$G$17*(1-I204)/(1-$B$11))),0)</f>
        <v>0.784230769230769</v>
      </c>
      <c r="K204" s="60" t="n">
        <f aca="false">IF(J204=0,"",IFERROR(SUMPRODUCT(Normalizacao!$AL$5:$AL$17,Pesos_Indicadores!$I$5:$I$17,((Pesos_Indicadores!$B$5:$B$17=$A$11)*I204+(Pesos_Indicadores!$B$5:$B$17&lt;&gt;$A$11)*Pesos_Indicadores!$G$5:$G$17*(1-I204)/(1-$B$11)),Normalizacao!$AI$5:$AI$17)/J204,""))</f>
        <v>0.840731290465219</v>
      </c>
      <c r="L204" s="60" t="n">
        <f aca="false">IF(J204=0,"",IFERROR(SUMPRODUCT(Normalizacao!$AL$5:$AL$17,Pesos_Indicadores!$I$5:$I$17,((Pesos_Indicadores!$B$5:$B$17=$A$11)*I204+(Pesos_Indicadores!$B$5:$B$17&lt;&gt;$A$11)*Pesos_Indicadores!$G$5:$G$17*(1-I204)/(1-$B$11)),Normalizacao!$AJ$5:$AJ$17)/J204,""))</f>
        <v>0.842856230142653</v>
      </c>
      <c r="M204" s="60" t="n">
        <f aca="false">IF(J204=0,"",IFERROR(SUMPRODUCT(Normalizacao!$AL$5:$AL$17,Pesos_Indicadores!$I$5:$I$17,((Pesos_Indicadores!$B$5:$B$17=$A$11)*I204+(Pesos_Indicadores!$B$5:$B$17&lt;&gt;$A$11)*Pesos_Indicadores!$G$5:$G$17*(1-I204)/(1-$B$11)),Normalizacao!$AK$5:$AK$17)/J204,""))</f>
        <v>0.847232437963021</v>
      </c>
      <c r="N204" s="17" t="str">
        <f aca="false">IF(K204="","",IF(INDEX(K204:M204,$B$5)&gt;=MAX(K204:M204),$B$4,INDEX(Pontuacao!$A$29:$A$31,MATCH(MAX(K204:M204),K204:M204,0))))</f>
        <v>Microsoft Azure</v>
      </c>
      <c r="O204" s="43" t="str">
        <f aca="false">IF(OR(N204="",N204=$B$4,ABS(I204-$B$11)&lt;0.000000001),"",ABS(I204-$B$11))</f>
        <v/>
      </c>
      <c r="Q204" s="60" t="n">
        <f aca="false">(ROW()-17)*$B$6</f>
        <v>0.935</v>
      </c>
      <c r="R204" s="43" t="n">
        <f aca="false">IFERROR(SUMPRODUCT(Normalizacao!$AL$5:$AL$17,Pesos_Indicadores!$I$5:$I$17,((Pesos_Indicadores!$B$5:$B$17=$A$12)*Q204+(Pesos_Indicadores!$B$5:$B$17&lt;&gt;$A$12)*Pesos_Indicadores!$G$5:$G$17*(1-Q204)/(1-$B$12))),0)</f>
        <v>0.9925</v>
      </c>
      <c r="S204" s="60" t="n">
        <f aca="false">IF(R204=0,"",IFERROR(SUMPRODUCT(Normalizacao!$AL$5:$AL$17,Pesos_Indicadores!$I$5:$I$17,((Pesos_Indicadores!$B$5:$B$17=$A$12)*Q204+(Pesos_Indicadores!$B$5:$B$17&lt;&gt;$A$12)*Pesos_Indicadores!$G$5:$G$17*(1-Q204)/(1-$B$12)),Normalizacao!$AI$5:$AI$17)/R204,""))</f>
        <v>0.748645807515174</v>
      </c>
      <c r="T204" s="60" t="n">
        <f aca="false">IF(R204=0,"",IFERROR(SUMPRODUCT(Normalizacao!$AL$5:$AL$17,Pesos_Indicadores!$I$5:$I$17,((Pesos_Indicadores!$B$5:$B$17=$A$12)*Q204+(Pesos_Indicadores!$B$5:$B$17&lt;&gt;$A$12)*Pesos_Indicadores!$G$5:$G$17*(1-Q204)/(1-$B$12)),Normalizacao!$AJ$5:$AJ$17)/R204,""))</f>
        <v>0.757040986748439</v>
      </c>
      <c r="U204" s="60" t="n">
        <f aca="false">IF(R204=0,"",IFERROR(SUMPRODUCT(Normalizacao!$AL$5:$AL$17,Pesos_Indicadores!$I$5:$I$17,((Pesos_Indicadores!$B$5:$B$17=$A$12)*Q204+(Pesos_Indicadores!$B$5:$B$17&lt;&gt;$A$12)*Pesos_Indicadores!$G$5:$G$17*(1-Q204)/(1-$B$12)),Normalizacao!$AK$5:$AK$17)/R204,""))</f>
        <v>0.816085599428961</v>
      </c>
      <c r="V204" s="17" t="str">
        <f aca="false">IF(S204="","",IF(INDEX(S204:U204,$B$5)&gt;=MAX(S204:U204),$B$4,INDEX(Pontuacao!$A$29:$A$31,MATCH(MAX(S204:U204),S204:U204,0))))</f>
        <v>Microsoft Azure</v>
      </c>
      <c r="W204" s="43" t="str">
        <f aca="false">IF(OR(V204="",V204=$B$4,ABS(Q204-$B$12)&lt;0.000000001),"",ABS(Q204-$B$12))</f>
        <v/>
      </c>
    </row>
    <row r="205" customFormat="false" ht="15" hidden="false" customHeight="true" outlineLevel="0" collapsed="false">
      <c r="A205" s="60" t="n">
        <f aca="false">(ROW()-17)*$B$6</f>
        <v>0.94</v>
      </c>
      <c r="B205" s="43" t="n">
        <f aca="false">IFERROR(SUMPRODUCT(Normalizacao!$AL$5:$AL$17,Pesos_Indicadores!$I$5:$I$17,((Pesos_Indicadores!$B$5:$B$17=$A$10)*A205+(Pesos_Indicadores!$B$5:$B$17&lt;&gt;$A$10)*Pesos_Indicadores!$G$5:$G$17*(1-A205)/(1-$B$10))),0)</f>
        <v>0.998615384615385</v>
      </c>
      <c r="C205" s="60" t="n">
        <f aca="false">IF(B205=0,"",IFERROR(SUMPRODUCT(Normalizacao!$AL$5:$AL$17,Pesos_Indicadores!$I$5:$I$17,((Pesos_Indicadores!$B$5:$B$17=$A$10)*A205+(Pesos_Indicadores!$B$5:$B$17&lt;&gt;$A$10)*Pesos_Indicadores!$G$5:$G$17*(1-A205)/(1-$B$10)),Normalizacao!$AI$5:$AI$17)/B205,""))</f>
        <v>0.639126671430641</v>
      </c>
      <c r="D205" s="60" t="n">
        <f aca="false">IF(B205=0,"",IFERROR(SUMPRODUCT(Normalizacao!$AL$5:$AL$17,Pesos_Indicadores!$I$5:$I$17,((Pesos_Indicadores!$B$5:$B$17=$A$10)*A205+(Pesos_Indicadores!$B$5:$B$17&lt;&gt;$A$10)*Pesos_Indicadores!$G$5:$G$17*(1-A205)/(1-$B$10)),Normalizacao!$AJ$5:$AJ$17)/B205,""))</f>
        <v>0.880454123770036</v>
      </c>
      <c r="E205" s="60" t="n">
        <f aca="false">IF(B205=0,"",IFERROR(SUMPRODUCT(Normalizacao!$AL$5:$AL$17,Pesos_Indicadores!$I$5:$I$17,((Pesos_Indicadores!$B$5:$B$17=$A$10)*A205+(Pesos_Indicadores!$B$5:$B$17&lt;&gt;$A$10)*Pesos_Indicadores!$G$5:$G$17*(1-A205)/(1-$B$10)),Normalizacao!$AK$5:$AK$17)/B205,""))</f>
        <v>0.888850849728325</v>
      </c>
      <c r="F205" s="17" t="str">
        <f aca="false">IF(C205="","",IF(INDEX(C205:E205,$B$5)&gt;=MAX(C205:E205),$B$4,INDEX(Pontuacao!$A$29:$A$31,MATCH(MAX(C205:E205),C205:E205,0))))</f>
        <v>Microsoft Azure</v>
      </c>
      <c r="G205" s="43" t="str">
        <f aca="false">IF(OR(F205="",F205=$B$4,ABS(A205-$B$10)&lt;0.000000001),"",ABS(A205-$B$10))</f>
        <v/>
      </c>
      <c r="I205" s="60" t="n">
        <f aca="false">(ROW()-17)*$B$6</f>
        <v>0.94</v>
      </c>
      <c r="J205" s="43" t="n">
        <f aca="false">IFERROR(SUMPRODUCT(Normalizacao!$AL$5:$AL$17,Pesos_Indicadores!$I$5:$I$17,((Pesos_Indicadores!$B$5:$B$17=$A$11)*I205+(Pesos_Indicadores!$B$5:$B$17&lt;&gt;$A$11)*Pesos_Indicadores!$G$5:$G$17*(1-I205)/(1-$B$11))),0)</f>
        <v>0.783076923076923</v>
      </c>
      <c r="K205" s="60" t="n">
        <f aca="false">IF(J205=0,"",IFERROR(SUMPRODUCT(Normalizacao!$AL$5:$AL$17,Pesos_Indicadores!$I$5:$I$17,((Pesos_Indicadores!$B$5:$B$17=$A$11)*I205+(Pesos_Indicadores!$B$5:$B$17&lt;&gt;$A$11)*Pesos_Indicadores!$G$5:$G$17*(1-I205)/(1-$B$11)),Normalizacao!$AI$5:$AI$17)/J205,""))</f>
        <v>0.84143166144412</v>
      </c>
      <c r="L205" s="60" t="n">
        <f aca="false">IF(J205=0,"",IFERROR(SUMPRODUCT(Normalizacao!$AL$5:$AL$17,Pesos_Indicadores!$I$5:$I$17,((Pesos_Indicadores!$B$5:$B$17=$A$11)*I205+(Pesos_Indicadores!$B$5:$B$17&lt;&gt;$A$11)*Pesos_Indicadores!$G$5:$G$17*(1-I205)/(1-$B$11)),Normalizacao!$AJ$5:$AJ$17)/J205,""))</f>
        <v>0.843396034423849</v>
      </c>
      <c r="M205" s="60" t="n">
        <f aca="false">IF(J205=0,"",IFERROR(SUMPRODUCT(Normalizacao!$AL$5:$AL$17,Pesos_Indicadores!$I$5:$I$17,((Pesos_Indicadores!$B$5:$B$17=$A$11)*I205+(Pesos_Indicadores!$B$5:$B$17&lt;&gt;$A$11)*Pesos_Indicadores!$G$5:$G$17*(1-I205)/(1-$B$11)),Normalizacao!$AK$5:$AK$17)/J205,""))</f>
        <v>0.847414357717697</v>
      </c>
      <c r="N205" s="17" t="str">
        <f aca="false">IF(K205="","",IF(INDEX(K205:M205,$B$5)&gt;=MAX(K205:M205),$B$4,INDEX(Pontuacao!$A$29:$A$31,MATCH(MAX(K205:M205),K205:M205,0))))</f>
        <v>Microsoft Azure</v>
      </c>
      <c r="O205" s="43" t="str">
        <f aca="false">IF(OR(N205="",N205=$B$4,ABS(I205-$B$11)&lt;0.000000001),"",ABS(I205-$B$11))</f>
        <v/>
      </c>
      <c r="Q205" s="60" t="n">
        <f aca="false">(ROW()-17)*$B$6</f>
        <v>0.94</v>
      </c>
      <c r="R205" s="43" t="n">
        <f aca="false">IFERROR(SUMPRODUCT(Normalizacao!$AL$5:$AL$17,Pesos_Indicadores!$I$5:$I$17,((Pesos_Indicadores!$B$5:$B$17=$A$12)*Q205+(Pesos_Indicadores!$B$5:$B$17&lt;&gt;$A$12)*Pesos_Indicadores!$G$5:$G$17*(1-Q205)/(1-$B$12))),0)</f>
        <v>0.993076923076923</v>
      </c>
      <c r="S205" s="60" t="n">
        <f aca="false">IF(R205=0,"",IFERROR(SUMPRODUCT(Normalizacao!$AL$5:$AL$17,Pesos_Indicadores!$I$5:$I$17,((Pesos_Indicadores!$B$5:$B$17=$A$12)*Q205+(Pesos_Indicadores!$B$5:$B$17&lt;&gt;$A$12)*Pesos_Indicadores!$G$5:$G$17*(1-Q205)/(1-$B$12)),Normalizacao!$AI$5:$AI$17)/R205,""))</f>
        <v>0.748750702362953</v>
      </c>
      <c r="T205" s="60" t="n">
        <f aca="false">IF(R205=0,"",IFERROR(SUMPRODUCT(Normalizacao!$AL$5:$AL$17,Pesos_Indicadores!$I$5:$I$17,((Pesos_Indicadores!$B$5:$B$17=$A$12)*Q205+(Pesos_Indicadores!$B$5:$B$17&lt;&gt;$A$12)*Pesos_Indicadores!$G$5:$G$17*(1-Q205)/(1-$B$12)),Normalizacao!$AJ$5:$AJ$17)/R205,""))</f>
        <v>0.756495596605261</v>
      </c>
      <c r="U205" s="60" t="n">
        <f aca="false">IF(R205=0,"",IFERROR(SUMPRODUCT(Normalizacao!$AL$5:$AL$17,Pesos_Indicadores!$I$5:$I$17,((Pesos_Indicadores!$B$5:$B$17=$A$12)*Q205+(Pesos_Indicadores!$B$5:$B$17&lt;&gt;$A$12)*Pesos_Indicadores!$G$5:$G$17*(1-Q205)/(1-$B$12)),Normalizacao!$AK$5:$AK$17)/R205,""))</f>
        <v>0.815807861285741</v>
      </c>
      <c r="V205" s="17" t="str">
        <f aca="false">IF(S205="","",IF(INDEX(S205:U205,$B$5)&gt;=MAX(S205:U205),$B$4,INDEX(Pontuacao!$A$29:$A$31,MATCH(MAX(S205:U205),S205:U205,0))))</f>
        <v>Microsoft Azure</v>
      </c>
      <c r="W205" s="43" t="str">
        <f aca="false">IF(OR(V205="",V205=$B$4,ABS(Q205-$B$12)&lt;0.000000001),"",ABS(Q205-$B$12))</f>
        <v/>
      </c>
    </row>
    <row r="206" customFormat="false" ht="15" hidden="false" customHeight="true" outlineLevel="0" collapsed="false">
      <c r="A206" s="60" t="n">
        <f aca="false">(ROW()-17)*$B$6</f>
        <v>0.945</v>
      </c>
      <c r="B206" s="43" t="n">
        <f aca="false">IFERROR(SUMPRODUCT(Normalizacao!$AL$5:$AL$17,Pesos_Indicadores!$I$5:$I$17,((Pesos_Indicadores!$B$5:$B$17=$A$10)*A206+(Pesos_Indicadores!$B$5:$B$17&lt;&gt;$A$10)*Pesos_Indicadores!$G$5:$G$17*(1-A206)/(1-$B$10))),0)</f>
        <v>0.998730769230769</v>
      </c>
      <c r="C206" s="60" t="n">
        <f aca="false">IF(B206=0,"",IFERROR(SUMPRODUCT(Normalizacao!$AL$5:$AL$17,Pesos_Indicadores!$I$5:$I$17,((Pesos_Indicadores!$B$5:$B$17=$A$10)*A206+(Pesos_Indicadores!$B$5:$B$17&lt;&gt;$A$10)*Pesos_Indicadores!$G$5:$G$17*(1-A206)/(1-$B$10)),Normalizacao!$AI$5:$AI$17)/B206,""))</f>
        <v>0.638508828623269</v>
      </c>
      <c r="D206" s="60" t="n">
        <f aca="false">IF(B206=0,"",IFERROR(SUMPRODUCT(Normalizacao!$AL$5:$AL$17,Pesos_Indicadores!$I$5:$I$17,((Pesos_Indicadores!$B$5:$B$17=$A$10)*A206+(Pesos_Indicadores!$B$5:$B$17&lt;&gt;$A$10)*Pesos_Indicadores!$G$5:$G$17*(1-A206)/(1-$B$10)),Normalizacao!$AJ$5:$AJ$17)/B206,""))</f>
        <v>0.881091908459064</v>
      </c>
      <c r="E206" s="60" t="n">
        <f aca="false">IF(B206=0,"",IFERROR(SUMPRODUCT(Normalizacao!$AL$5:$AL$17,Pesos_Indicadores!$I$5:$I$17,((Pesos_Indicadores!$B$5:$B$17=$A$10)*A206+(Pesos_Indicadores!$B$5:$B$17&lt;&gt;$A$10)*Pesos_Indicadores!$G$5:$G$17*(1-A206)/(1-$B$10)),Normalizacao!$AK$5:$AK$17)/B206,""))</f>
        <v>0.889232887743659</v>
      </c>
      <c r="F206" s="17" t="str">
        <f aca="false">IF(C206="","",IF(INDEX(C206:E206,$B$5)&gt;=MAX(C206:E206),$B$4,INDEX(Pontuacao!$A$29:$A$31,MATCH(MAX(C206:E206),C206:E206,0))))</f>
        <v>Microsoft Azure</v>
      </c>
      <c r="G206" s="43" t="str">
        <f aca="false">IF(OR(F206="",F206=$B$4,ABS(A206-$B$10)&lt;0.000000001),"",ABS(A206-$B$10))</f>
        <v/>
      </c>
      <c r="I206" s="60" t="n">
        <f aca="false">(ROW()-17)*$B$6</f>
        <v>0.945</v>
      </c>
      <c r="J206" s="43" t="n">
        <f aca="false">IFERROR(SUMPRODUCT(Normalizacao!$AL$5:$AL$17,Pesos_Indicadores!$I$5:$I$17,((Pesos_Indicadores!$B$5:$B$17=$A$11)*I206+(Pesos_Indicadores!$B$5:$B$17&lt;&gt;$A$11)*Pesos_Indicadores!$G$5:$G$17*(1-I206)/(1-$B$11))),0)</f>
        <v>0.781923076923077</v>
      </c>
      <c r="K206" s="60" t="n">
        <f aca="false">IF(J206=0,"",IFERROR(SUMPRODUCT(Normalizacao!$AL$5:$AL$17,Pesos_Indicadores!$I$5:$I$17,((Pesos_Indicadores!$B$5:$B$17=$A$11)*I206+(Pesos_Indicadores!$B$5:$B$17&lt;&gt;$A$11)*Pesos_Indicadores!$G$5:$G$17*(1-I206)/(1-$B$11)),Normalizacao!$AI$5:$AI$17)/J206,""))</f>
        <v>0.842134099430338</v>
      </c>
      <c r="L206" s="60" t="n">
        <f aca="false">IF(J206=0,"",IFERROR(SUMPRODUCT(Normalizacao!$AL$5:$AL$17,Pesos_Indicadores!$I$5:$I$17,((Pesos_Indicadores!$B$5:$B$17=$A$11)*I206+(Pesos_Indicadores!$B$5:$B$17&lt;&gt;$A$11)*Pesos_Indicadores!$G$5:$G$17*(1-I206)/(1-$B$11)),Normalizacao!$AJ$5:$AJ$17)/J206,""))</f>
        <v>0.843937431831305</v>
      </c>
      <c r="M206" s="60" t="n">
        <f aca="false">IF(J206=0,"",IFERROR(SUMPRODUCT(Normalizacao!$AL$5:$AL$17,Pesos_Indicadores!$I$5:$I$17,((Pesos_Indicadores!$B$5:$B$17=$A$11)*I206+(Pesos_Indicadores!$B$5:$B$17&lt;&gt;$A$11)*Pesos_Indicadores!$G$5:$G$17*(1-I206)/(1-$B$11)),Normalizacao!$AK$5:$AK$17)/J206,""))</f>
        <v>0.84759681437278</v>
      </c>
      <c r="N206" s="17" t="str">
        <f aca="false">IF(K206="","",IF(INDEX(K206:M206,$B$5)&gt;=MAX(K206:M206),$B$4,INDEX(Pontuacao!$A$29:$A$31,MATCH(MAX(K206:M206),K206:M206,0))))</f>
        <v>Microsoft Azure</v>
      </c>
      <c r="O206" s="43" t="str">
        <f aca="false">IF(OR(N206="",N206=$B$4,ABS(I206-$B$11)&lt;0.000000001),"",ABS(I206-$B$11))</f>
        <v/>
      </c>
      <c r="Q206" s="60" t="n">
        <f aca="false">(ROW()-17)*$B$6</f>
        <v>0.945</v>
      </c>
      <c r="R206" s="43" t="n">
        <f aca="false">IFERROR(SUMPRODUCT(Normalizacao!$AL$5:$AL$17,Pesos_Indicadores!$I$5:$I$17,((Pesos_Indicadores!$B$5:$B$17=$A$12)*Q206+(Pesos_Indicadores!$B$5:$B$17&lt;&gt;$A$12)*Pesos_Indicadores!$G$5:$G$17*(1-Q206)/(1-$B$12))),0)</f>
        <v>0.993653846153846</v>
      </c>
      <c r="S206" s="60" t="n">
        <f aca="false">IF(R206=0,"",IFERROR(SUMPRODUCT(Normalizacao!$AL$5:$AL$17,Pesos_Indicadores!$I$5:$I$17,((Pesos_Indicadores!$B$5:$B$17=$A$12)*Q206+(Pesos_Indicadores!$B$5:$B$17&lt;&gt;$A$12)*Pesos_Indicadores!$G$5:$G$17*(1-Q206)/(1-$B$12)),Normalizacao!$AI$5:$AI$17)/R206,""))</f>
        <v>0.748855475405219</v>
      </c>
      <c r="T206" s="60" t="n">
        <f aca="false">IF(R206=0,"",IFERROR(SUMPRODUCT(Normalizacao!$AL$5:$AL$17,Pesos_Indicadores!$I$5:$I$17,((Pesos_Indicadores!$B$5:$B$17=$A$12)*Q206+(Pesos_Indicadores!$B$5:$B$17&lt;&gt;$A$12)*Pesos_Indicadores!$G$5:$G$17*(1-Q206)/(1-$B$12)),Normalizacao!$AJ$5:$AJ$17)/R206,""))</f>
        <v>0.755950839777518</v>
      </c>
      <c r="U206" s="60" t="n">
        <f aca="false">IF(R206=0,"",IFERROR(SUMPRODUCT(Normalizacao!$AL$5:$AL$17,Pesos_Indicadores!$I$5:$I$17,((Pesos_Indicadores!$B$5:$B$17=$A$12)*Q206+(Pesos_Indicadores!$B$5:$B$17&lt;&gt;$A$12)*Pesos_Indicadores!$G$5:$G$17*(1-Q206)/(1-$B$12)),Normalizacao!$AK$5:$AK$17)/R206,""))</f>
        <v>0.815530445656333</v>
      </c>
      <c r="V206" s="17" t="str">
        <f aca="false">IF(S206="","",IF(INDEX(S206:U206,$B$5)&gt;=MAX(S206:U206),$B$4,INDEX(Pontuacao!$A$29:$A$31,MATCH(MAX(S206:U206),S206:U206,0))))</f>
        <v>Microsoft Azure</v>
      </c>
      <c r="W206" s="43" t="str">
        <f aca="false">IF(OR(V206="",V206=$B$4,ABS(Q206-$B$12)&lt;0.000000001),"",ABS(Q206-$B$12))</f>
        <v/>
      </c>
    </row>
    <row r="207" customFormat="false" ht="15" hidden="false" customHeight="true" outlineLevel="0" collapsed="false">
      <c r="A207" s="60" t="n">
        <f aca="false">(ROW()-17)*$B$6</f>
        <v>0.95</v>
      </c>
      <c r="B207" s="43" t="n">
        <f aca="false">IFERROR(SUMPRODUCT(Normalizacao!$AL$5:$AL$17,Pesos_Indicadores!$I$5:$I$17,((Pesos_Indicadores!$B$5:$B$17=$A$10)*A207+(Pesos_Indicadores!$B$5:$B$17&lt;&gt;$A$10)*Pesos_Indicadores!$G$5:$G$17*(1-A207)/(1-$B$10))),0)</f>
        <v>0.998846153846154</v>
      </c>
      <c r="C207" s="60" t="n">
        <f aca="false">IF(B207=0,"",IFERROR(SUMPRODUCT(Normalizacao!$AL$5:$AL$17,Pesos_Indicadores!$I$5:$I$17,((Pesos_Indicadores!$B$5:$B$17=$A$10)*A207+(Pesos_Indicadores!$B$5:$B$17&lt;&gt;$A$10)*Pesos_Indicadores!$G$5:$G$17*(1-A207)/(1-$B$10)),Normalizacao!$AI$5:$AI$17)/B207,""))</f>
        <v>0.637891128559709</v>
      </c>
      <c r="D207" s="60" t="n">
        <f aca="false">IF(B207=0,"",IFERROR(SUMPRODUCT(Normalizacao!$AL$5:$AL$17,Pesos_Indicadores!$I$5:$I$17,((Pesos_Indicadores!$B$5:$B$17=$A$10)*A207+(Pesos_Indicadores!$B$5:$B$17&lt;&gt;$A$10)*Pesos_Indicadores!$G$5:$G$17*(1-A207)/(1-$B$10)),Normalizacao!$AJ$5:$AJ$17)/B207,""))</f>
        <v>0.88172954579699</v>
      </c>
      <c r="E207" s="60" t="n">
        <f aca="false">IF(B207=0,"",IFERROR(SUMPRODUCT(Normalizacao!$AL$5:$AL$17,Pesos_Indicadores!$I$5:$I$17,((Pesos_Indicadores!$B$5:$B$17=$A$10)*A207+(Pesos_Indicadores!$B$5:$B$17&lt;&gt;$A$10)*Pesos_Indicadores!$G$5:$G$17*(1-A207)/(1-$B$10)),Normalizacao!$AK$5:$AK$17)/B207,""))</f>
        <v>0.889614837494531</v>
      </c>
      <c r="F207" s="17" t="str">
        <f aca="false">IF(C207="","",IF(INDEX(C207:E207,$B$5)&gt;=MAX(C207:E207),$B$4,INDEX(Pontuacao!$A$29:$A$31,MATCH(MAX(C207:E207),C207:E207,0))))</f>
        <v>Microsoft Azure</v>
      </c>
      <c r="G207" s="43" t="str">
        <f aca="false">IF(OR(F207="",F207=$B$4,ABS(A207-$B$10)&lt;0.000000001),"",ABS(A207-$B$10))</f>
        <v/>
      </c>
      <c r="I207" s="60" t="n">
        <f aca="false">(ROW()-17)*$B$6</f>
        <v>0.95</v>
      </c>
      <c r="J207" s="43" t="n">
        <f aca="false">IFERROR(SUMPRODUCT(Normalizacao!$AL$5:$AL$17,Pesos_Indicadores!$I$5:$I$17,((Pesos_Indicadores!$B$5:$B$17=$A$11)*I207+(Pesos_Indicadores!$B$5:$B$17&lt;&gt;$A$11)*Pesos_Indicadores!$G$5:$G$17*(1-I207)/(1-$B$11))),0)</f>
        <v>0.780769230769231</v>
      </c>
      <c r="K207" s="60" t="n">
        <f aca="false">IF(J207=0,"",IFERROR(SUMPRODUCT(Normalizacao!$AL$5:$AL$17,Pesos_Indicadores!$I$5:$I$17,((Pesos_Indicadores!$B$5:$B$17=$A$11)*I207+(Pesos_Indicadores!$B$5:$B$17&lt;&gt;$A$11)*Pesos_Indicadores!$G$5:$G$17*(1-I207)/(1-$B$11)),Normalizacao!$AI$5:$AI$17)/J207,""))</f>
        <v>0.842838613587943</v>
      </c>
      <c r="L207" s="60" t="n">
        <f aca="false">IF(J207=0,"",IFERROR(SUMPRODUCT(Normalizacao!$AL$5:$AL$17,Pesos_Indicadores!$I$5:$I$17,((Pesos_Indicadores!$B$5:$B$17=$A$11)*I207+(Pesos_Indicadores!$B$5:$B$17&lt;&gt;$A$11)*Pesos_Indicadores!$G$5:$G$17*(1-I207)/(1-$B$11)),Normalizacao!$AJ$5:$AJ$17)/J207,""))</f>
        <v>0.844480429428143</v>
      </c>
      <c r="M207" s="60" t="n">
        <f aca="false">IF(J207=0,"",IFERROR(SUMPRODUCT(Normalizacao!$AL$5:$AL$17,Pesos_Indicadores!$I$5:$I$17,((Pesos_Indicadores!$B$5:$B$17=$A$11)*I207+(Pesos_Indicadores!$B$5:$B$17&lt;&gt;$A$11)*Pesos_Indicadores!$G$5:$G$17*(1-I207)/(1-$B$11)),Normalizacao!$AK$5:$AK$17)/J207,""))</f>
        <v>0.847779810308617</v>
      </c>
      <c r="N207" s="17" t="str">
        <f aca="false">IF(K207="","",IF(INDEX(K207:M207,$B$5)&gt;=MAX(K207:M207),$B$4,INDEX(Pontuacao!$A$29:$A$31,MATCH(MAX(K207:M207),K207:M207,0))))</f>
        <v>Microsoft Azure</v>
      </c>
      <c r="O207" s="43" t="str">
        <f aca="false">IF(OR(N207="",N207=$B$4,ABS(I207-$B$11)&lt;0.000000001),"",ABS(I207-$B$11))</f>
        <v/>
      </c>
      <c r="Q207" s="60" t="n">
        <f aca="false">(ROW()-17)*$B$6</f>
        <v>0.95</v>
      </c>
      <c r="R207" s="43" t="n">
        <f aca="false">IFERROR(SUMPRODUCT(Normalizacao!$AL$5:$AL$17,Pesos_Indicadores!$I$5:$I$17,((Pesos_Indicadores!$B$5:$B$17=$A$12)*Q207+(Pesos_Indicadores!$B$5:$B$17&lt;&gt;$A$12)*Pesos_Indicadores!$G$5:$G$17*(1-Q207)/(1-$B$12))),0)</f>
        <v>0.994230769230769</v>
      </c>
      <c r="S207" s="60" t="n">
        <f aca="false">IF(R207=0,"",IFERROR(SUMPRODUCT(Normalizacao!$AL$5:$AL$17,Pesos_Indicadores!$I$5:$I$17,((Pesos_Indicadores!$B$5:$B$17=$A$12)*Q207+(Pesos_Indicadores!$B$5:$B$17&lt;&gt;$A$12)*Pesos_Indicadores!$G$5:$G$17*(1-Q207)/(1-$B$12)),Normalizacao!$AI$5:$AI$17)/R207,""))</f>
        <v>0.748960126854012</v>
      </c>
      <c r="T207" s="60" t="n">
        <f aca="false">IF(R207=0,"",IFERROR(SUMPRODUCT(Normalizacao!$AL$5:$AL$17,Pesos_Indicadores!$I$5:$I$17,((Pesos_Indicadores!$B$5:$B$17=$A$12)*Q207+(Pesos_Indicadores!$B$5:$B$17&lt;&gt;$A$12)*Pesos_Indicadores!$G$5:$G$17*(1-Q207)/(1-$B$12)),Normalizacao!$AJ$5:$AJ$17)/R207,""))</f>
        <v>0.755406715162728</v>
      </c>
      <c r="U207" s="60" t="n">
        <f aca="false">IF(R207=0,"",IFERROR(SUMPRODUCT(Normalizacao!$AL$5:$AL$17,Pesos_Indicadores!$I$5:$I$17,((Pesos_Indicadores!$B$5:$B$17=$A$12)*Q207+(Pesos_Indicadores!$B$5:$B$17&lt;&gt;$A$12)*Pesos_Indicadores!$G$5:$G$17*(1-Q207)/(1-$B$12)),Normalizacao!$AK$5:$AK$17)/R207,""))</f>
        <v>0.815253351979299</v>
      </c>
      <c r="V207" s="17" t="str">
        <f aca="false">IF(S207="","",IF(INDEX(S207:U207,$B$5)&gt;=MAX(S207:U207),$B$4,INDEX(Pontuacao!$A$29:$A$31,MATCH(MAX(S207:U207),S207:U207,0))))</f>
        <v>Microsoft Azure</v>
      </c>
      <c r="W207" s="43" t="str">
        <f aca="false">IF(OR(V207="",V207=$B$4,ABS(Q207-$B$12)&lt;0.000000001),"",ABS(Q207-$B$12))</f>
        <v/>
      </c>
    </row>
    <row r="208" customFormat="false" ht="15" hidden="false" customHeight="true" outlineLevel="0" collapsed="false">
      <c r="A208" s="60" t="n">
        <f aca="false">(ROW()-17)*$B$6</f>
        <v>0.955</v>
      </c>
      <c r="B208" s="43" t="n">
        <f aca="false">IFERROR(SUMPRODUCT(Normalizacao!$AL$5:$AL$17,Pesos_Indicadores!$I$5:$I$17,((Pesos_Indicadores!$B$5:$B$17=$A$10)*A208+(Pesos_Indicadores!$B$5:$B$17&lt;&gt;$A$10)*Pesos_Indicadores!$G$5:$G$17*(1-A208)/(1-$B$10))),0)</f>
        <v>0.998961538461539</v>
      </c>
      <c r="C208" s="60" t="n">
        <f aca="false">IF(B208=0,"",IFERROR(SUMPRODUCT(Normalizacao!$AL$5:$AL$17,Pesos_Indicadores!$I$5:$I$17,((Pesos_Indicadores!$B$5:$B$17=$A$10)*A208+(Pesos_Indicadores!$B$5:$B$17&lt;&gt;$A$10)*Pesos_Indicadores!$G$5:$G$17*(1-A208)/(1-$B$10)),Normalizacao!$AI$5:$AI$17)/B208,""))</f>
        <v>0.637273571190501</v>
      </c>
      <c r="D208" s="60" t="n">
        <f aca="false">IF(B208=0,"",IFERROR(SUMPRODUCT(Normalizacao!$AL$5:$AL$17,Pesos_Indicadores!$I$5:$I$17,((Pesos_Indicadores!$B$5:$B$17=$A$10)*A208+(Pesos_Indicadores!$B$5:$B$17&lt;&gt;$A$10)*Pesos_Indicadores!$G$5:$G$17*(1-A208)/(1-$B$10)),Normalizacao!$AJ$5:$AJ$17)/B208,""))</f>
        <v>0.882367035834872</v>
      </c>
      <c r="E208" s="60" t="n">
        <f aca="false">IF(B208=0,"",IFERROR(SUMPRODUCT(Normalizacao!$AL$5:$AL$17,Pesos_Indicadores!$I$5:$I$17,((Pesos_Indicadores!$B$5:$B$17=$A$10)*A208+(Pesos_Indicadores!$B$5:$B$17&lt;&gt;$A$10)*Pesos_Indicadores!$G$5:$G$17*(1-A208)/(1-$B$10)),Normalizacao!$AK$5:$AK$17)/B208,""))</f>
        <v>0.889996699011525</v>
      </c>
      <c r="F208" s="17" t="str">
        <f aca="false">IF(C208="","",IF(INDEX(C208:E208,$B$5)&gt;=MAX(C208:E208),$B$4,INDEX(Pontuacao!$A$29:$A$31,MATCH(MAX(C208:E208),C208:E208,0))))</f>
        <v>Microsoft Azure</v>
      </c>
      <c r="G208" s="43" t="str">
        <f aca="false">IF(OR(F208="",F208=$B$4,ABS(A208-$B$10)&lt;0.000000001),"",ABS(A208-$B$10))</f>
        <v/>
      </c>
      <c r="I208" s="60" t="n">
        <f aca="false">(ROW()-17)*$B$6</f>
        <v>0.955</v>
      </c>
      <c r="J208" s="43" t="n">
        <f aca="false">IFERROR(SUMPRODUCT(Normalizacao!$AL$5:$AL$17,Pesos_Indicadores!$I$5:$I$17,((Pesos_Indicadores!$B$5:$B$17=$A$11)*I208+(Pesos_Indicadores!$B$5:$B$17&lt;&gt;$A$11)*Pesos_Indicadores!$G$5:$G$17*(1-I208)/(1-$B$11))),0)</f>
        <v>0.779615384615385</v>
      </c>
      <c r="K208" s="60" t="n">
        <f aca="false">IF(J208=0,"",IFERROR(SUMPRODUCT(Normalizacao!$AL$5:$AL$17,Pesos_Indicadores!$I$5:$I$17,((Pesos_Indicadores!$B$5:$B$17=$A$11)*I208+(Pesos_Indicadores!$B$5:$B$17&lt;&gt;$A$11)*Pesos_Indicadores!$G$5:$G$17*(1-I208)/(1-$B$11)),Normalizacao!$AI$5:$AI$17)/J208,""))</f>
        <v>0.84354521313526</v>
      </c>
      <c r="L208" s="60" t="n">
        <f aca="false">IF(J208=0,"",IFERROR(SUMPRODUCT(Normalizacao!$AL$5:$AL$17,Pesos_Indicadores!$I$5:$I$17,((Pesos_Indicadores!$B$5:$B$17=$A$11)*I208+(Pesos_Indicadores!$B$5:$B$17&lt;&gt;$A$11)*Pesos_Indicadores!$G$5:$G$17*(1-I208)/(1-$B$11)),Normalizacao!$AJ$5:$AJ$17)/J208,""))</f>
        <v>0.845025034319298</v>
      </c>
      <c r="M208" s="60" t="n">
        <f aca="false">IF(J208=0,"",IFERROR(SUMPRODUCT(Normalizacao!$AL$5:$AL$17,Pesos_Indicadores!$I$5:$I$17,((Pesos_Indicadores!$B$5:$B$17=$A$11)*I208+(Pesos_Indicadores!$B$5:$B$17&lt;&gt;$A$11)*Pesos_Indicadores!$G$5:$G$17*(1-I208)/(1-$B$11)),Normalizacao!$AK$5:$AK$17)/J208,""))</f>
        <v>0.847963347919646</v>
      </c>
      <c r="N208" s="17" t="str">
        <f aca="false">IF(K208="","",IF(INDEX(K208:M208,$B$5)&gt;=MAX(K208:M208),$B$4,INDEX(Pontuacao!$A$29:$A$31,MATCH(MAX(K208:M208),K208:M208,0))))</f>
        <v>Microsoft Azure</v>
      </c>
      <c r="O208" s="43" t="str">
        <f aca="false">IF(OR(N208="",N208=$B$4,ABS(I208-$B$11)&lt;0.000000001),"",ABS(I208-$B$11))</f>
        <v/>
      </c>
      <c r="Q208" s="60" t="n">
        <f aca="false">(ROW()-17)*$B$6</f>
        <v>0.955</v>
      </c>
      <c r="R208" s="43" t="n">
        <f aca="false">IFERROR(SUMPRODUCT(Normalizacao!$AL$5:$AL$17,Pesos_Indicadores!$I$5:$I$17,((Pesos_Indicadores!$B$5:$B$17=$A$12)*Q208+(Pesos_Indicadores!$B$5:$B$17&lt;&gt;$A$12)*Pesos_Indicadores!$G$5:$G$17*(1-Q208)/(1-$B$12))),0)</f>
        <v>0.994807692307692</v>
      </c>
      <c r="S208" s="60" t="n">
        <f aca="false">IF(R208=0,"",IFERROR(SUMPRODUCT(Normalizacao!$AL$5:$AL$17,Pesos_Indicadores!$I$5:$I$17,((Pesos_Indicadores!$B$5:$B$17=$A$12)*Q208+(Pesos_Indicadores!$B$5:$B$17&lt;&gt;$A$12)*Pesos_Indicadores!$G$5:$G$17*(1-Q208)/(1-$B$12)),Normalizacao!$AI$5:$AI$17)/R208,""))</f>
        <v>0.749064656920881</v>
      </c>
      <c r="T208" s="60" t="n">
        <f aca="false">IF(R208=0,"",IFERROR(SUMPRODUCT(Normalizacao!$AL$5:$AL$17,Pesos_Indicadores!$I$5:$I$17,((Pesos_Indicadores!$B$5:$B$17=$A$12)*Q208+(Pesos_Indicadores!$B$5:$B$17&lt;&gt;$A$12)*Pesos_Indicadores!$G$5:$G$17*(1-Q208)/(1-$B$12)),Normalizacao!$AJ$5:$AJ$17)/R208,""))</f>
        <v>0.754863221660965</v>
      </c>
      <c r="U208" s="60" t="n">
        <f aca="false">IF(R208=0,"",IFERROR(SUMPRODUCT(Normalizacao!$AL$5:$AL$17,Pesos_Indicadores!$I$5:$I$17,((Pesos_Indicadores!$B$5:$B$17=$A$12)*Q208+(Pesos_Indicadores!$B$5:$B$17&lt;&gt;$A$12)*Pesos_Indicadores!$G$5:$G$17*(1-Q208)/(1-$B$12)),Normalizacao!$AK$5:$AK$17)/R208,""))</f>
        <v>0.814976579694505</v>
      </c>
      <c r="V208" s="17" t="str">
        <f aca="false">IF(S208="","",IF(INDEX(S208:U208,$B$5)&gt;=MAX(S208:U208),$B$4,INDEX(Pontuacao!$A$29:$A$31,MATCH(MAX(S208:U208),S208:U208,0))))</f>
        <v>Microsoft Azure</v>
      </c>
      <c r="W208" s="43" t="str">
        <f aca="false">IF(OR(V208="",V208=$B$4,ABS(Q208-$B$12)&lt;0.000000001),"",ABS(Q208-$B$12))</f>
        <v/>
      </c>
    </row>
    <row r="209" customFormat="false" ht="15" hidden="false" customHeight="true" outlineLevel="0" collapsed="false">
      <c r="A209" s="60" t="n">
        <f aca="false">(ROW()-17)*$B$6</f>
        <v>0.96</v>
      </c>
      <c r="B209" s="43" t="n">
        <f aca="false">IFERROR(SUMPRODUCT(Normalizacao!$AL$5:$AL$17,Pesos_Indicadores!$I$5:$I$17,((Pesos_Indicadores!$B$5:$B$17=$A$10)*A209+(Pesos_Indicadores!$B$5:$B$17&lt;&gt;$A$10)*Pesos_Indicadores!$G$5:$G$17*(1-A209)/(1-$B$10))),0)</f>
        <v>0.999076923076923</v>
      </c>
      <c r="C209" s="60" t="n">
        <f aca="false">IF(B209=0,"",IFERROR(SUMPRODUCT(Normalizacao!$AL$5:$AL$17,Pesos_Indicadores!$I$5:$I$17,((Pesos_Indicadores!$B$5:$B$17=$A$10)*A209+(Pesos_Indicadores!$B$5:$B$17&lt;&gt;$A$10)*Pesos_Indicadores!$G$5:$G$17*(1-A209)/(1-$B$10)),Normalizacao!$AI$5:$AI$17)/B209,""))</f>
        <v>0.636656156466205</v>
      </c>
      <c r="D209" s="60" t="n">
        <f aca="false">IF(B209=0,"",IFERROR(SUMPRODUCT(Normalizacao!$AL$5:$AL$17,Pesos_Indicadores!$I$5:$I$17,((Pesos_Indicadores!$B$5:$B$17=$A$10)*A209+(Pesos_Indicadores!$B$5:$B$17&lt;&gt;$A$10)*Pesos_Indicadores!$G$5:$G$17*(1-A209)/(1-$B$10)),Normalizacao!$AJ$5:$AJ$17)/B209,""))</f>
        <v>0.883004378623746</v>
      </c>
      <c r="E209" s="60" t="n">
        <f aca="false">IF(B209=0,"",IFERROR(SUMPRODUCT(Normalizacao!$AL$5:$AL$17,Pesos_Indicadores!$I$5:$I$17,((Pesos_Indicadores!$B$5:$B$17=$A$10)*A209+(Pesos_Indicadores!$B$5:$B$17&lt;&gt;$A$10)*Pesos_Indicadores!$G$5:$G$17*(1-A209)/(1-$B$10)),Normalizacao!$AK$5:$AK$17)/B209,""))</f>
        <v>0.890378472325212</v>
      </c>
      <c r="F209" s="17" t="str">
        <f aca="false">IF(C209="","",IF(INDEX(C209:E209,$B$5)&gt;=MAX(C209:E209),$B$4,INDEX(Pontuacao!$A$29:$A$31,MATCH(MAX(C209:E209),C209:E209,0))))</f>
        <v>Microsoft Azure</v>
      </c>
      <c r="G209" s="43" t="str">
        <f aca="false">IF(OR(F209="",F209=$B$4,ABS(A209-$B$10)&lt;0.000000001),"",ABS(A209-$B$10))</f>
        <v/>
      </c>
      <c r="I209" s="60" t="n">
        <f aca="false">(ROW()-17)*$B$6</f>
        <v>0.96</v>
      </c>
      <c r="J209" s="43" t="n">
        <f aca="false">IFERROR(SUMPRODUCT(Normalizacao!$AL$5:$AL$17,Pesos_Indicadores!$I$5:$I$17,((Pesos_Indicadores!$B$5:$B$17=$A$11)*I209+(Pesos_Indicadores!$B$5:$B$17&lt;&gt;$A$11)*Pesos_Indicadores!$G$5:$G$17*(1-I209)/(1-$B$11))),0)</f>
        <v>0.778461538461539</v>
      </c>
      <c r="K209" s="60" t="n">
        <f aca="false">IF(J209=0,"",IFERROR(SUMPRODUCT(Normalizacao!$AL$5:$AL$17,Pesos_Indicadores!$I$5:$I$17,((Pesos_Indicadores!$B$5:$B$17=$A$11)*I209+(Pesos_Indicadores!$B$5:$B$17&lt;&gt;$A$11)*Pesos_Indicadores!$G$5:$G$17*(1-I209)/(1-$B$11)),Normalizacao!$AI$5:$AI$17)/J209,""))</f>
        <v>0.844253907345266</v>
      </c>
      <c r="L209" s="60" t="n">
        <f aca="false">IF(J209=0,"",IFERROR(SUMPRODUCT(Normalizacao!$AL$5:$AL$17,Pesos_Indicadores!$I$5:$I$17,((Pesos_Indicadores!$B$5:$B$17=$A$11)*I209+(Pesos_Indicadores!$B$5:$B$17&lt;&gt;$A$11)*Pesos_Indicadores!$G$5:$G$17*(1-I209)/(1-$B$11)),Normalizacao!$AJ$5:$AJ$17)/J209,""))</f>
        <v>0.84557125365183</v>
      </c>
      <c r="M209" s="60" t="n">
        <f aca="false">IF(J209=0,"",IFERROR(SUMPRODUCT(Normalizacao!$AL$5:$AL$17,Pesos_Indicadores!$I$5:$I$17,((Pesos_Indicadores!$B$5:$B$17=$A$11)*I209+(Pesos_Indicadores!$B$5:$B$17&lt;&gt;$A$11)*Pesos_Indicadores!$G$5:$G$17*(1-I209)/(1-$B$11)),Normalizacao!$AK$5:$AK$17)/J209,""))</f>
        <v>0.848147429614503</v>
      </c>
      <c r="N209" s="17" t="str">
        <f aca="false">IF(K209="","",IF(INDEX(K209:M209,$B$5)&gt;=MAX(K209:M209),$B$4,INDEX(Pontuacao!$A$29:$A$31,MATCH(MAX(K209:M209),K209:M209,0))))</f>
        <v>Microsoft Azure</v>
      </c>
      <c r="O209" s="43" t="str">
        <f aca="false">IF(OR(N209="",N209=$B$4,ABS(I209-$B$11)&lt;0.000000001),"",ABS(I209-$B$11))</f>
        <v/>
      </c>
      <c r="Q209" s="60" t="n">
        <f aca="false">(ROW()-17)*$B$6</f>
        <v>0.96</v>
      </c>
      <c r="R209" s="43" t="n">
        <f aca="false">IFERROR(SUMPRODUCT(Normalizacao!$AL$5:$AL$17,Pesos_Indicadores!$I$5:$I$17,((Pesos_Indicadores!$B$5:$B$17=$A$12)*Q209+(Pesos_Indicadores!$B$5:$B$17&lt;&gt;$A$12)*Pesos_Indicadores!$G$5:$G$17*(1-Q209)/(1-$B$12))),0)</f>
        <v>0.995384615384615</v>
      </c>
      <c r="S209" s="60" t="n">
        <f aca="false">IF(R209=0,"",IFERROR(SUMPRODUCT(Normalizacao!$AL$5:$AL$17,Pesos_Indicadores!$I$5:$I$17,((Pesos_Indicadores!$B$5:$B$17=$A$12)*Q209+(Pesos_Indicadores!$B$5:$B$17&lt;&gt;$A$12)*Pesos_Indicadores!$G$5:$G$17*(1-Q209)/(1-$B$12)),Normalizacao!$AI$5:$AI$17)/R209,""))</f>
        <v>0.749169065816884</v>
      </c>
      <c r="T209" s="60" t="n">
        <f aca="false">IF(R209=0,"",IFERROR(SUMPRODUCT(Normalizacao!$AL$5:$AL$17,Pesos_Indicadores!$I$5:$I$17,((Pesos_Indicadores!$B$5:$B$17=$A$12)*Q209+(Pesos_Indicadores!$B$5:$B$17&lt;&gt;$A$12)*Pesos_Indicadores!$G$5:$G$17*(1-Q209)/(1-$B$12)),Normalizacao!$AJ$5:$AJ$17)/R209,""))</f>
        <v>0.754320358174854</v>
      </c>
      <c r="U209" s="60" t="n">
        <f aca="false">IF(R209=0,"",IFERROR(SUMPRODUCT(Normalizacao!$AL$5:$AL$17,Pesos_Indicadores!$I$5:$I$17,((Pesos_Indicadores!$B$5:$B$17=$A$12)*Q209+(Pesos_Indicadores!$B$5:$B$17&lt;&gt;$A$12)*Pesos_Indicadores!$G$5:$G$17*(1-Q209)/(1-$B$12)),Normalizacao!$AK$5:$AK$17)/R209,""))</f>
        <v>0.814700128243118</v>
      </c>
      <c r="V209" s="17" t="str">
        <f aca="false">IF(S209="","",IF(INDEX(S209:U209,$B$5)&gt;=MAX(S209:U209),$B$4,INDEX(Pontuacao!$A$29:$A$31,MATCH(MAX(S209:U209),S209:U209,0))))</f>
        <v>Microsoft Azure</v>
      </c>
      <c r="W209" s="43" t="str">
        <f aca="false">IF(OR(V209="",V209=$B$4,ABS(Q209-$B$12)&lt;0.000000001),"",ABS(Q209-$B$12))</f>
        <v/>
      </c>
    </row>
    <row r="210" customFormat="false" ht="15" hidden="false" customHeight="true" outlineLevel="0" collapsed="false">
      <c r="A210" s="60" t="n">
        <f aca="false">(ROW()-17)*$B$6</f>
        <v>0.965</v>
      </c>
      <c r="B210" s="43" t="n">
        <f aca="false">IFERROR(SUMPRODUCT(Normalizacao!$AL$5:$AL$17,Pesos_Indicadores!$I$5:$I$17,((Pesos_Indicadores!$B$5:$B$17=$A$10)*A210+(Pesos_Indicadores!$B$5:$B$17&lt;&gt;$A$10)*Pesos_Indicadores!$G$5:$G$17*(1-A210)/(1-$B$10))),0)</f>
        <v>0.999192307692308</v>
      </c>
      <c r="C210" s="60" t="n">
        <f aca="false">IF(B210=0,"",IFERROR(SUMPRODUCT(Normalizacao!$AL$5:$AL$17,Pesos_Indicadores!$I$5:$I$17,((Pesos_Indicadores!$B$5:$B$17=$A$10)*A210+(Pesos_Indicadores!$B$5:$B$17&lt;&gt;$A$10)*Pesos_Indicadores!$G$5:$G$17*(1-A210)/(1-$B$10)),Normalizacao!$AI$5:$AI$17)/B210,""))</f>
        <v>0.636038884337402</v>
      </c>
      <c r="D210" s="60" t="n">
        <f aca="false">IF(B210=0,"",IFERROR(SUMPRODUCT(Normalizacao!$AL$5:$AL$17,Pesos_Indicadores!$I$5:$I$17,((Pesos_Indicadores!$B$5:$B$17=$A$10)*A210+(Pesos_Indicadores!$B$5:$B$17&lt;&gt;$A$10)*Pesos_Indicadores!$G$5:$G$17*(1-A210)/(1-$B$10)),Normalizacao!$AJ$5:$AJ$17)/B210,""))</f>
        <v>0.883641574214625</v>
      </c>
      <c r="E210" s="60" t="n">
        <f aca="false">IF(B210=0,"",IFERROR(SUMPRODUCT(Normalizacao!$AL$5:$AL$17,Pesos_Indicadores!$I$5:$I$17,((Pesos_Indicadores!$B$5:$B$17=$A$10)*A210+(Pesos_Indicadores!$B$5:$B$17&lt;&gt;$A$10)*Pesos_Indicadores!$G$5:$G$17*(1-A210)/(1-$B$10)),Normalizacao!$AK$5:$AK$17)/B210,""))</f>
        <v>0.890760157466149</v>
      </c>
      <c r="F210" s="17" t="str">
        <f aca="false">IF(C210="","",IF(INDEX(C210:E210,$B$5)&gt;=MAX(C210:E210),$B$4,INDEX(Pontuacao!$A$29:$A$31,MATCH(MAX(C210:E210),C210:E210,0))))</f>
        <v>Microsoft Azure</v>
      </c>
      <c r="G210" s="43" t="str">
        <f aca="false">IF(OR(F210="",F210=$B$4,ABS(A210-$B$10)&lt;0.000000001),"",ABS(A210-$B$10))</f>
        <v/>
      </c>
      <c r="I210" s="60" t="n">
        <f aca="false">(ROW()-17)*$B$6</f>
        <v>0.965</v>
      </c>
      <c r="J210" s="43" t="n">
        <f aca="false">IFERROR(SUMPRODUCT(Normalizacao!$AL$5:$AL$17,Pesos_Indicadores!$I$5:$I$17,((Pesos_Indicadores!$B$5:$B$17=$A$11)*I210+(Pesos_Indicadores!$B$5:$B$17&lt;&gt;$A$11)*Pesos_Indicadores!$G$5:$G$17*(1-I210)/(1-$B$11))),0)</f>
        <v>0.777307692307692</v>
      </c>
      <c r="K210" s="60" t="n">
        <f aca="false">IF(J210=0,"",IFERROR(SUMPRODUCT(Normalizacao!$AL$5:$AL$17,Pesos_Indicadores!$I$5:$I$17,((Pesos_Indicadores!$B$5:$B$17=$A$11)*I210+(Pesos_Indicadores!$B$5:$B$17&lt;&gt;$A$11)*Pesos_Indicadores!$G$5:$G$17*(1-I210)/(1-$B$11)),Normalizacao!$AI$5:$AI$17)/J210,""))</f>
        <v>0.844964705546</v>
      </c>
      <c r="L210" s="60" t="n">
        <f aca="false">IF(J210=0,"",IFERROR(SUMPRODUCT(Normalizacao!$AL$5:$AL$17,Pesos_Indicadores!$I$5:$I$17,((Pesos_Indicadores!$B$5:$B$17=$A$11)*I210+(Pesos_Indicadores!$B$5:$B$17&lt;&gt;$A$11)*Pesos_Indicadores!$G$5:$G$17*(1-I210)/(1-$B$11)),Normalizacao!$AJ$5:$AJ$17)/J210,""))</f>
        <v>0.846119094615236</v>
      </c>
      <c r="M210" s="60" t="n">
        <f aca="false">IF(J210=0,"",IFERROR(SUMPRODUCT(Normalizacao!$AL$5:$AL$17,Pesos_Indicadores!$I$5:$I$17,((Pesos_Indicadores!$B$5:$B$17=$A$11)*I210+(Pesos_Indicadores!$B$5:$B$17&lt;&gt;$A$11)*Pesos_Indicadores!$G$5:$G$17*(1-I210)/(1-$B$11)),Normalizacao!$AK$5:$AK$17)/J210,""))</f>
        <v>0.848332057816123</v>
      </c>
      <c r="N210" s="17" t="str">
        <f aca="false">IF(K210="","",IF(INDEX(K210:M210,$B$5)&gt;=MAX(K210:M210),$B$4,INDEX(Pontuacao!$A$29:$A$31,MATCH(MAX(K210:M210),K210:M210,0))))</f>
        <v>Microsoft Azure</v>
      </c>
      <c r="O210" s="43" t="str">
        <f aca="false">IF(OR(N210="",N210=$B$4,ABS(I210-$B$11)&lt;0.000000001),"",ABS(I210-$B$11))</f>
        <v/>
      </c>
      <c r="Q210" s="60" t="n">
        <f aca="false">(ROW()-17)*$B$6</f>
        <v>0.965</v>
      </c>
      <c r="R210" s="43" t="n">
        <f aca="false">IFERROR(SUMPRODUCT(Normalizacao!$AL$5:$AL$17,Pesos_Indicadores!$I$5:$I$17,((Pesos_Indicadores!$B$5:$B$17=$A$12)*Q210+(Pesos_Indicadores!$B$5:$B$17&lt;&gt;$A$12)*Pesos_Indicadores!$G$5:$G$17*(1-Q210)/(1-$B$12))),0)</f>
        <v>0.995961538461539</v>
      </c>
      <c r="S210" s="60" t="n">
        <f aca="false">IF(R210=0,"",IFERROR(SUMPRODUCT(Normalizacao!$AL$5:$AL$17,Pesos_Indicadores!$I$5:$I$17,((Pesos_Indicadores!$B$5:$B$17=$A$12)*Q210+(Pesos_Indicadores!$B$5:$B$17&lt;&gt;$A$12)*Pesos_Indicadores!$G$5:$G$17*(1-Q210)/(1-$B$12)),Normalizacao!$AI$5:$AI$17)/R210,""))</f>
        <v>0.749273353752591</v>
      </c>
      <c r="T210" s="60" t="n">
        <f aca="false">IF(R210=0,"",IFERROR(SUMPRODUCT(Normalizacao!$AL$5:$AL$17,Pesos_Indicadores!$I$5:$I$17,((Pesos_Indicadores!$B$5:$B$17=$A$12)*Q210+(Pesos_Indicadores!$B$5:$B$17&lt;&gt;$A$12)*Pesos_Indicadores!$G$5:$G$17*(1-Q210)/(1-$B$12)),Normalizacao!$AJ$5:$AJ$17)/R210,""))</f>
        <v>0.75377812360956</v>
      </c>
      <c r="U210" s="60" t="n">
        <f aca="false">IF(R210=0,"",IFERROR(SUMPRODUCT(Normalizacao!$AL$5:$AL$17,Pesos_Indicadores!$I$5:$I$17,((Pesos_Indicadores!$B$5:$B$17=$A$12)*Q210+(Pesos_Indicadores!$B$5:$B$17&lt;&gt;$A$12)*Pesos_Indicadores!$G$5:$G$17*(1-Q210)/(1-$B$12)),Normalizacao!$AK$5:$AK$17)/R210,""))</f>
        <v>0.814423997067596</v>
      </c>
      <c r="V210" s="17" t="str">
        <f aca="false">IF(S210="","",IF(INDEX(S210:U210,$B$5)&gt;=MAX(S210:U210),$B$4,INDEX(Pontuacao!$A$29:$A$31,MATCH(MAX(S210:U210),S210:U210,0))))</f>
        <v>Microsoft Azure</v>
      </c>
      <c r="W210" s="43" t="str">
        <f aca="false">IF(OR(V210="",V210=$B$4,ABS(Q210-$B$12)&lt;0.000000001),"",ABS(Q210-$B$12))</f>
        <v/>
      </c>
    </row>
    <row r="211" customFormat="false" ht="15" hidden="false" customHeight="true" outlineLevel="0" collapsed="false">
      <c r="A211" s="60" t="n">
        <f aca="false">(ROW()-17)*$B$6</f>
        <v>0.97</v>
      </c>
      <c r="B211" s="43" t="n">
        <f aca="false">IFERROR(SUMPRODUCT(Normalizacao!$AL$5:$AL$17,Pesos_Indicadores!$I$5:$I$17,((Pesos_Indicadores!$B$5:$B$17=$A$10)*A211+(Pesos_Indicadores!$B$5:$B$17&lt;&gt;$A$10)*Pesos_Indicadores!$G$5:$G$17*(1-A211)/(1-$B$10))),0)</f>
        <v>0.999307692307692</v>
      </c>
      <c r="C211" s="60" t="n">
        <f aca="false">IF(B211=0,"",IFERROR(SUMPRODUCT(Normalizacao!$AL$5:$AL$17,Pesos_Indicadores!$I$5:$I$17,((Pesos_Indicadores!$B$5:$B$17=$A$10)*A211+(Pesos_Indicadores!$B$5:$B$17&lt;&gt;$A$10)*Pesos_Indicadores!$G$5:$G$17*(1-A211)/(1-$B$10)),Normalizacao!$AI$5:$AI$17)/B211,""))</f>
        <v>0.6354217547547</v>
      </c>
      <c r="D211" s="60" t="n">
        <f aca="false">IF(B211=0,"",IFERROR(SUMPRODUCT(Normalizacao!$AL$5:$AL$17,Pesos_Indicadores!$I$5:$I$17,((Pesos_Indicadores!$B$5:$B$17=$A$10)*A211+(Pesos_Indicadores!$B$5:$B$17&lt;&gt;$A$10)*Pesos_Indicadores!$G$5:$G$17*(1-A211)/(1-$B$10)),Normalizacao!$AJ$5:$AJ$17)/B211,""))</f>
        <v>0.884278622658496</v>
      </c>
      <c r="E211" s="60" t="n">
        <f aca="false">IF(B211=0,"",IFERROR(SUMPRODUCT(Normalizacao!$AL$5:$AL$17,Pesos_Indicadores!$I$5:$I$17,((Pesos_Indicadores!$B$5:$B$17=$A$10)*A211+(Pesos_Indicadores!$B$5:$B$17&lt;&gt;$A$10)*Pesos_Indicadores!$G$5:$G$17*(1-A211)/(1-$B$10)),Normalizacao!$AK$5:$AK$17)/B211,""))</f>
        <v>0.891141754464878</v>
      </c>
      <c r="F211" s="17" t="str">
        <f aca="false">IF(C211="","",IF(INDEX(C211:E211,$B$5)&gt;=MAX(C211:E211),$B$4,INDEX(Pontuacao!$A$29:$A$31,MATCH(MAX(C211:E211),C211:E211,0))))</f>
        <v>Microsoft Azure</v>
      </c>
      <c r="G211" s="43" t="str">
        <f aca="false">IF(OR(F211="",F211=$B$4,ABS(A211-$B$10)&lt;0.000000001),"",ABS(A211-$B$10))</f>
        <v/>
      </c>
      <c r="I211" s="60" t="n">
        <f aca="false">(ROW()-17)*$B$6</f>
        <v>0.97</v>
      </c>
      <c r="J211" s="43" t="n">
        <f aca="false">IFERROR(SUMPRODUCT(Normalizacao!$AL$5:$AL$17,Pesos_Indicadores!$I$5:$I$17,((Pesos_Indicadores!$B$5:$B$17=$A$11)*I211+(Pesos_Indicadores!$B$5:$B$17&lt;&gt;$A$11)*Pesos_Indicadores!$G$5:$G$17*(1-I211)/(1-$B$11))),0)</f>
        <v>0.776153846153846</v>
      </c>
      <c r="K211" s="60" t="n">
        <f aca="false">IF(J211=0,"",IFERROR(SUMPRODUCT(Normalizacao!$AL$5:$AL$17,Pesos_Indicadores!$I$5:$I$17,((Pesos_Indicadores!$B$5:$B$17=$A$11)*I211+(Pesos_Indicadores!$B$5:$B$17&lt;&gt;$A$11)*Pesos_Indicadores!$G$5:$G$17*(1-I211)/(1-$B$11)),Normalizacao!$AI$5:$AI$17)/J211,""))</f>
        <v>0.845677617120969</v>
      </c>
      <c r="L211" s="60" t="n">
        <f aca="false">IF(J211=0,"",IFERROR(SUMPRODUCT(Normalizacao!$AL$5:$AL$17,Pesos_Indicadores!$I$5:$I$17,((Pesos_Indicadores!$B$5:$B$17=$A$11)*I211+(Pesos_Indicadores!$B$5:$B$17&lt;&gt;$A$11)*Pesos_Indicadores!$G$5:$G$17*(1-I211)/(1-$B$11)),Normalizacao!$AJ$5:$AJ$17)/J211,""))</f>
        <v>0.846668564441763</v>
      </c>
      <c r="M211" s="60" t="n">
        <f aca="false">IF(J211=0,"",IFERROR(SUMPRODUCT(Normalizacao!$AL$5:$AL$17,Pesos_Indicadores!$I$5:$I$17,((Pesos_Indicadores!$B$5:$B$17=$A$11)*I211+(Pesos_Indicadores!$B$5:$B$17&lt;&gt;$A$11)*Pesos_Indicadores!$G$5:$G$17*(1-I211)/(1-$B$11)),Normalizacao!$AK$5:$AK$17)/J211,""))</f>
        <v>0.848517234961851</v>
      </c>
      <c r="N211" s="17" t="str">
        <f aca="false">IF(K211="","",IF(INDEX(K211:M211,$B$5)&gt;=MAX(K211:M211),$B$4,INDEX(Pontuacao!$A$29:$A$31,MATCH(MAX(K211:M211),K211:M211,0))))</f>
        <v>Microsoft Azure</v>
      </c>
      <c r="O211" s="43" t="str">
        <f aca="false">IF(OR(N211="",N211=$B$4,ABS(I211-$B$11)&lt;0.000000001),"",ABS(I211-$B$11))</f>
        <v/>
      </c>
      <c r="Q211" s="60" t="n">
        <f aca="false">(ROW()-17)*$B$6</f>
        <v>0.97</v>
      </c>
      <c r="R211" s="43" t="n">
        <f aca="false">IFERROR(SUMPRODUCT(Normalizacao!$AL$5:$AL$17,Pesos_Indicadores!$I$5:$I$17,((Pesos_Indicadores!$B$5:$B$17=$A$12)*Q211+(Pesos_Indicadores!$B$5:$B$17&lt;&gt;$A$12)*Pesos_Indicadores!$G$5:$G$17*(1-Q211)/(1-$B$12))),0)</f>
        <v>0.996538461538462</v>
      </c>
      <c r="S211" s="60" t="n">
        <f aca="false">IF(R211=0,"",IFERROR(SUMPRODUCT(Normalizacao!$AL$5:$AL$17,Pesos_Indicadores!$I$5:$I$17,((Pesos_Indicadores!$B$5:$B$17=$A$12)*Q211+(Pesos_Indicadores!$B$5:$B$17&lt;&gt;$A$12)*Pesos_Indicadores!$G$5:$G$17*(1-Q211)/(1-$B$12)),Normalizacao!$AI$5:$AI$17)/R211,""))</f>
        <v>0.749377520938083</v>
      </c>
      <c r="T211" s="60" t="n">
        <f aca="false">IF(R211=0,"",IFERROR(SUMPRODUCT(Normalizacao!$AL$5:$AL$17,Pesos_Indicadores!$I$5:$I$17,((Pesos_Indicadores!$B$5:$B$17=$A$12)*Q211+(Pesos_Indicadores!$B$5:$B$17&lt;&gt;$A$12)*Pesos_Indicadores!$G$5:$G$17*(1-Q211)/(1-$B$12)),Normalizacao!$AJ$5:$AJ$17)/R211,""))</f>
        <v>0.753236516872787</v>
      </c>
      <c r="U211" s="60" t="n">
        <f aca="false">IF(R211=0,"",IFERROR(SUMPRODUCT(Normalizacao!$AL$5:$AL$17,Pesos_Indicadores!$I$5:$I$17,((Pesos_Indicadores!$B$5:$B$17=$A$12)*Q211+(Pesos_Indicadores!$B$5:$B$17&lt;&gt;$A$12)*Pesos_Indicadores!$G$5:$G$17*(1-Q211)/(1-$B$12)),Normalizacao!$AK$5:$AK$17)/R211,""))</f>
        <v>0.814148185611691</v>
      </c>
      <c r="V211" s="17" t="str">
        <f aca="false">IF(S211="","",IF(INDEX(S211:U211,$B$5)&gt;=MAX(S211:U211),$B$4,INDEX(Pontuacao!$A$29:$A$31,MATCH(MAX(S211:U211),S211:U211,0))))</f>
        <v>Microsoft Azure</v>
      </c>
      <c r="W211" s="43" t="str">
        <f aca="false">IF(OR(V211="",V211=$B$4,ABS(Q211-$B$12)&lt;0.000000001),"",ABS(Q211-$B$12))</f>
        <v/>
      </c>
    </row>
    <row r="212" customFormat="false" ht="15" hidden="false" customHeight="true" outlineLevel="0" collapsed="false">
      <c r="A212" s="60" t="n">
        <f aca="false">(ROW()-17)*$B$6</f>
        <v>0.975</v>
      </c>
      <c r="B212" s="43" t="n">
        <f aca="false">IFERROR(SUMPRODUCT(Normalizacao!$AL$5:$AL$17,Pesos_Indicadores!$I$5:$I$17,((Pesos_Indicadores!$B$5:$B$17=$A$10)*A212+(Pesos_Indicadores!$B$5:$B$17&lt;&gt;$A$10)*Pesos_Indicadores!$G$5:$G$17*(1-A212)/(1-$B$10))),0)</f>
        <v>0.999423076923077</v>
      </c>
      <c r="C212" s="60" t="n">
        <f aca="false">IF(B212=0,"",IFERROR(SUMPRODUCT(Normalizacao!$AL$5:$AL$17,Pesos_Indicadores!$I$5:$I$17,((Pesos_Indicadores!$B$5:$B$17=$A$10)*A212+(Pesos_Indicadores!$B$5:$B$17&lt;&gt;$A$10)*Pesos_Indicadores!$G$5:$G$17*(1-A212)/(1-$B$10)),Normalizacao!$AI$5:$AI$17)/B212,""))</f>
        <v>0.634804767668726</v>
      </c>
      <c r="D212" s="60" t="n">
        <f aca="false">IF(B212=0,"",IFERROR(SUMPRODUCT(Normalizacao!$AL$5:$AL$17,Pesos_Indicadores!$I$5:$I$17,((Pesos_Indicadores!$B$5:$B$17=$A$10)*A212+(Pesos_Indicadores!$B$5:$B$17&lt;&gt;$A$10)*Pesos_Indicadores!$G$5:$G$17*(1-A212)/(1-$B$10)),Normalizacao!$AJ$5:$AJ$17)/B212,""))</f>
        <v>0.884915524006325</v>
      </c>
      <c r="E212" s="60" t="n">
        <f aca="false">IF(B212=0,"",IFERROR(SUMPRODUCT(Normalizacao!$AL$5:$AL$17,Pesos_Indicadores!$I$5:$I$17,((Pesos_Indicadores!$B$5:$B$17=$A$10)*A212+(Pesos_Indicadores!$B$5:$B$17&lt;&gt;$A$10)*Pesos_Indicadores!$G$5:$G$17*(1-A212)/(1-$B$10)),Normalizacao!$AK$5:$AK$17)/B212,""))</f>
        <v>0.891523263351927</v>
      </c>
      <c r="F212" s="17" t="str">
        <f aca="false">IF(C212="","",IF(INDEX(C212:E212,$B$5)&gt;=MAX(C212:E212),$B$4,INDEX(Pontuacao!$A$29:$A$31,MATCH(MAX(C212:E212),C212:E212,0))))</f>
        <v>Microsoft Azure</v>
      </c>
      <c r="G212" s="43" t="str">
        <f aca="false">IF(OR(F212="",F212=$B$4,ABS(A212-$B$10)&lt;0.000000001),"",ABS(A212-$B$10))</f>
        <v/>
      </c>
      <c r="I212" s="60" t="n">
        <f aca="false">(ROW()-17)*$B$6</f>
        <v>0.975</v>
      </c>
      <c r="J212" s="43" t="n">
        <f aca="false">IFERROR(SUMPRODUCT(Normalizacao!$AL$5:$AL$17,Pesos_Indicadores!$I$5:$I$17,((Pesos_Indicadores!$B$5:$B$17=$A$11)*I212+(Pesos_Indicadores!$B$5:$B$17&lt;&gt;$A$11)*Pesos_Indicadores!$G$5:$G$17*(1-I212)/(1-$B$11))),0)</f>
        <v>0.775</v>
      </c>
      <c r="K212" s="60" t="n">
        <f aca="false">IF(J212=0,"",IFERROR(SUMPRODUCT(Normalizacao!$AL$5:$AL$17,Pesos_Indicadores!$I$5:$I$17,((Pesos_Indicadores!$B$5:$B$17=$A$11)*I212+(Pesos_Indicadores!$B$5:$B$17&lt;&gt;$A$11)*Pesos_Indicadores!$G$5:$G$17*(1-I212)/(1-$B$11)),Normalizacao!$AI$5:$AI$17)/J212,""))</f>
        <v>0.846392651509559</v>
      </c>
      <c r="L212" s="60" t="n">
        <f aca="false">IF(J212=0,"",IFERROR(SUMPRODUCT(Normalizacao!$AL$5:$AL$17,Pesos_Indicadores!$I$5:$I$17,((Pesos_Indicadores!$B$5:$B$17=$A$11)*I212+(Pesos_Indicadores!$B$5:$B$17&lt;&gt;$A$11)*Pesos_Indicadores!$G$5:$G$17*(1-I212)/(1-$B$11)),Normalizacao!$AJ$5:$AJ$17)/J212,""))</f>
        <v>0.847219670406732</v>
      </c>
      <c r="M212" s="60" t="n">
        <f aca="false">IF(J212=0,"",IFERROR(SUMPRODUCT(Normalizacao!$AL$5:$AL$17,Pesos_Indicadores!$I$5:$I$17,((Pesos_Indicadores!$B$5:$B$17=$A$11)*I212+(Pesos_Indicadores!$B$5:$B$17&lt;&gt;$A$11)*Pesos_Indicadores!$G$5:$G$17*(1-I212)/(1-$B$11)),Normalizacao!$AK$5:$AK$17)/J212,""))</f>
        <v>0.848702963503547</v>
      </c>
      <c r="N212" s="17" t="str">
        <f aca="false">IF(K212="","",IF(INDEX(K212:M212,$B$5)&gt;=MAX(K212:M212),$B$4,INDEX(Pontuacao!$A$29:$A$31,MATCH(MAX(K212:M212),K212:M212,0))))</f>
        <v>Microsoft Azure</v>
      </c>
      <c r="O212" s="43" t="str">
        <f aca="false">IF(OR(N212="",N212=$B$4,ABS(I212-$B$11)&lt;0.000000001),"",ABS(I212-$B$11))</f>
        <v/>
      </c>
      <c r="Q212" s="60" t="n">
        <f aca="false">(ROW()-17)*$B$6</f>
        <v>0.975</v>
      </c>
      <c r="R212" s="43" t="n">
        <f aca="false">IFERROR(SUMPRODUCT(Normalizacao!$AL$5:$AL$17,Pesos_Indicadores!$I$5:$I$17,((Pesos_Indicadores!$B$5:$B$17=$A$12)*Q212+(Pesos_Indicadores!$B$5:$B$17&lt;&gt;$A$12)*Pesos_Indicadores!$G$5:$G$17*(1-Q212)/(1-$B$12))),0)</f>
        <v>0.997115384615385</v>
      </c>
      <c r="S212" s="60" t="n">
        <f aca="false">IF(R212=0,"",IFERROR(SUMPRODUCT(Normalizacao!$AL$5:$AL$17,Pesos_Indicadores!$I$5:$I$17,((Pesos_Indicadores!$B$5:$B$17=$A$12)*Q212+(Pesos_Indicadores!$B$5:$B$17&lt;&gt;$A$12)*Pesos_Indicadores!$G$5:$G$17*(1-Q212)/(1-$B$12)),Normalizacao!$AI$5:$AI$17)/R212,""))</f>
        <v>0.749481567582955</v>
      </c>
      <c r="T212" s="60" t="n">
        <f aca="false">IF(R212=0,"",IFERROR(SUMPRODUCT(Normalizacao!$AL$5:$AL$17,Pesos_Indicadores!$I$5:$I$17,((Pesos_Indicadores!$B$5:$B$17=$A$12)*Q212+(Pesos_Indicadores!$B$5:$B$17&lt;&gt;$A$12)*Pesos_Indicadores!$G$5:$G$17*(1-Q212)/(1-$B$12)),Normalizacao!$AJ$5:$AJ$17)/R212,""))</f>
        <v>0.752695536874764</v>
      </c>
      <c r="U212" s="60" t="n">
        <f aca="false">IF(R212=0,"",IFERROR(SUMPRODUCT(Normalizacao!$AL$5:$AL$17,Pesos_Indicadores!$I$5:$I$17,((Pesos_Indicadores!$B$5:$B$17=$A$12)*Q212+(Pesos_Indicadores!$B$5:$B$17&lt;&gt;$A$12)*Pesos_Indicadores!$G$5:$G$17*(1-Q212)/(1-$B$12)),Normalizacao!$AK$5:$AK$17)/R212,""))</f>
        <v>0.813872693320441</v>
      </c>
      <c r="V212" s="17" t="str">
        <f aca="false">IF(S212="","",IF(INDEX(S212:U212,$B$5)&gt;=MAX(S212:U212),$B$4,INDEX(Pontuacao!$A$29:$A$31,MATCH(MAX(S212:U212),S212:U212,0))))</f>
        <v>Microsoft Azure</v>
      </c>
      <c r="W212" s="43" t="str">
        <f aca="false">IF(OR(V212="",V212=$B$4,ABS(Q212-$B$12)&lt;0.000000001),"",ABS(Q212-$B$12))</f>
        <v/>
      </c>
    </row>
    <row r="213" customFormat="false" ht="15" hidden="false" customHeight="true" outlineLevel="0" collapsed="false">
      <c r="A213" s="60" t="n">
        <f aca="false">(ROW()-17)*$B$6</f>
        <v>0.98</v>
      </c>
      <c r="B213" s="43" t="n">
        <f aca="false">IFERROR(SUMPRODUCT(Normalizacao!$AL$5:$AL$17,Pesos_Indicadores!$I$5:$I$17,((Pesos_Indicadores!$B$5:$B$17=$A$10)*A213+(Pesos_Indicadores!$B$5:$B$17&lt;&gt;$A$10)*Pesos_Indicadores!$G$5:$G$17*(1-A213)/(1-$B$10))),0)</f>
        <v>0.999538461538462</v>
      </c>
      <c r="C213" s="60" t="n">
        <f aca="false">IF(B213=0,"",IFERROR(SUMPRODUCT(Normalizacao!$AL$5:$AL$17,Pesos_Indicadores!$I$5:$I$17,((Pesos_Indicadores!$B$5:$B$17=$A$10)*A213+(Pesos_Indicadores!$B$5:$B$17&lt;&gt;$A$10)*Pesos_Indicadores!$G$5:$G$17*(1-A213)/(1-$B$10)),Normalizacao!$AI$5:$AI$17)/B213,""))</f>
        <v>0.634187923030133</v>
      </c>
      <c r="D213" s="60" t="n">
        <f aca="false">IF(B213=0,"",IFERROR(SUMPRODUCT(Normalizacao!$AL$5:$AL$17,Pesos_Indicadores!$I$5:$I$17,((Pesos_Indicadores!$B$5:$B$17=$A$10)*A213+(Pesos_Indicadores!$B$5:$B$17&lt;&gt;$A$10)*Pesos_Indicadores!$G$5:$G$17*(1-A213)/(1-$B$10)),Normalizacao!$AJ$5:$AJ$17)/B213,""))</f>
        <v>0.885552278309053</v>
      </c>
      <c r="E213" s="60" t="n">
        <f aca="false">IF(B213=0,"",IFERROR(SUMPRODUCT(Normalizacao!$AL$5:$AL$17,Pesos_Indicadores!$I$5:$I$17,((Pesos_Indicadores!$B$5:$B$17=$A$10)*A213+(Pesos_Indicadores!$B$5:$B$17&lt;&gt;$A$10)*Pesos_Indicadores!$G$5:$G$17*(1-A213)/(1-$B$10)),Normalizacao!$AK$5:$AK$17)/B213,""))</f>
        <v>0.891904684157811</v>
      </c>
      <c r="F213" s="17" t="str">
        <f aca="false">IF(C213="","",IF(INDEX(C213:E213,$B$5)&gt;=MAX(C213:E213),$B$4,INDEX(Pontuacao!$A$29:$A$31,MATCH(MAX(C213:E213),C213:E213,0))))</f>
        <v>Microsoft Azure</v>
      </c>
      <c r="G213" s="43" t="str">
        <f aca="false">IF(OR(F213="",F213=$B$4,ABS(A213-$B$10)&lt;0.000000001),"",ABS(A213-$B$10))</f>
        <v/>
      </c>
      <c r="I213" s="60" t="n">
        <f aca="false">(ROW()-17)*$B$6</f>
        <v>0.98</v>
      </c>
      <c r="J213" s="43" t="n">
        <f aca="false">IFERROR(SUMPRODUCT(Normalizacao!$AL$5:$AL$17,Pesos_Indicadores!$I$5:$I$17,((Pesos_Indicadores!$B$5:$B$17=$A$11)*I213+(Pesos_Indicadores!$B$5:$B$17&lt;&gt;$A$11)*Pesos_Indicadores!$G$5:$G$17*(1-I213)/(1-$B$11))),0)</f>
        <v>0.773846153846154</v>
      </c>
      <c r="K213" s="60" t="n">
        <f aca="false">IF(J213=0,"",IFERROR(SUMPRODUCT(Normalizacao!$AL$5:$AL$17,Pesos_Indicadores!$I$5:$I$17,((Pesos_Indicadores!$B$5:$B$17=$A$11)*I213+(Pesos_Indicadores!$B$5:$B$17&lt;&gt;$A$11)*Pesos_Indicadores!$G$5:$G$17*(1-I213)/(1-$B$11)),Normalizacao!$AI$5:$AI$17)/J213,""))</f>
        <v>0.84710981820746</v>
      </c>
      <c r="L213" s="60" t="n">
        <f aca="false">IF(J213=0,"",IFERROR(SUMPRODUCT(Normalizacao!$AL$5:$AL$17,Pesos_Indicadores!$I$5:$I$17,((Pesos_Indicadores!$B$5:$B$17=$A$11)*I213+(Pesos_Indicadores!$B$5:$B$17&lt;&gt;$A$11)*Pesos_Indicadores!$G$5:$G$17*(1-I213)/(1-$B$11)),Normalizacao!$AJ$5:$AJ$17)/J213,""))</f>
        <v>0.847772419828853</v>
      </c>
      <c r="M213" s="60" t="n">
        <f aca="false">IF(J213=0,"",IFERROR(SUMPRODUCT(Normalizacao!$AL$5:$AL$17,Pesos_Indicadores!$I$5:$I$17,((Pesos_Indicadores!$B$5:$B$17=$A$11)*I213+(Pesos_Indicadores!$B$5:$B$17&lt;&gt;$A$11)*Pesos_Indicadores!$G$5:$G$17*(1-I213)/(1-$B$11)),Normalizacao!$AK$5:$AK$17)/J213,""))</f>
        <v>0.848889245907692</v>
      </c>
      <c r="N213" s="17" t="str">
        <f aca="false">IF(K213="","",IF(INDEX(K213:M213,$B$5)&gt;=MAX(K213:M213),$B$4,INDEX(Pontuacao!$A$29:$A$31,MATCH(MAX(K213:M213),K213:M213,0))))</f>
        <v>Microsoft Azure</v>
      </c>
      <c r="O213" s="43" t="str">
        <f aca="false">IF(OR(N213="",N213=$B$4,ABS(I213-$B$11)&lt;0.000000001),"",ABS(I213-$B$11))</f>
        <v/>
      </c>
      <c r="Q213" s="60" t="n">
        <f aca="false">(ROW()-17)*$B$6</f>
        <v>0.98</v>
      </c>
      <c r="R213" s="43" t="n">
        <f aca="false">IFERROR(SUMPRODUCT(Normalizacao!$AL$5:$AL$17,Pesos_Indicadores!$I$5:$I$17,((Pesos_Indicadores!$B$5:$B$17=$A$12)*Q213+(Pesos_Indicadores!$B$5:$B$17&lt;&gt;$A$12)*Pesos_Indicadores!$G$5:$G$17*(1-Q213)/(1-$B$12))),0)</f>
        <v>0.997692307692308</v>
      </c>
      <c r="S213" s="60" t="n">
        <f aca="false">IF(R213=0,"",IFERROR(SUMPRODUCT(Normalizacao!$AL$5:$AL$17,Pesos_Indicadores!$I$5:$I$17,((Pesos_Indicadores!$B$5:$B$17=$A$12)*Q213+(Pesos_Indicadores!$B$5:$B$17&lt;&gt;$A$12)*Pesos_Indicadores!$G$5:$G$17*(1-Q213)/(1-$B$12)),Normalizacao!$AI$5:$AI$17)/R213,""))</f>
        <v>0.749585493896318</v>
      </c>
      <c r="T213" s="60" t="n">
        <f aca="false">IF(R213=0,"",IFERROR(SUMPRODUCT(Normalizacao!$AL$5:$AL$17,Pesos_Indicadores!$I$5:$I$17,((Pesos_Indicadores!$B$5:$B$17=$A$12)*Q213+(Pesos_Indicadores!$B$5:$B$17&lt;&gt;$A$12)*Pesos_Indicadores!$G$5:$G$17*(1-Q213)/(1-$B$12)),Normalizacao!$AJ$5:$AJ$17)/R213,""))</f>
        <v>0.752155182528242</v>
      </c>
      <c r="U213" s="60" t="n">
        <f aca="false">IF(R213=0,"",IFERROR(SUMPRODUCT(Normalizacao!$AL$5:$AL$17,Pesos_Indicadores!$I$5:$I$17,((Pesos_Indicadores!$B$5:$B$17=$A$12)*Q213+(Pesos_Indicadores!$B$5:$B$17&lt;&gt;$A$12)*Pesos_Indicadores!$G$5:$G$17*(1-Q213)/(1-$B$12)),Normalizacao!$AK$5:$AK$17)/R213,""))</f>
        <v>0.813597519640168</v>
      </c>
      <c r="V213" s="17" t="str">
        <f aca="false">IF(S213="","",IF(INDEX(S213:U213,$B$5)&gt;=MAX(S213:U213),$B$4,INDEX(Pontuacao!$A$29:$A$31,MATCH(MAX(S213:U213),S213:U213,0))))</f>
        <v>Microsoft Azure</v>
      </c>
      <c r="W213" s="43" t="str">
        <f aca="false">IF(OR(V213="",V213=$B$4,ABS(Q213-$B$12)&lt;0.000000001),"",ABS(Q213-$B$12))</f>
        <v/>
      </c>
    </row>
    <row r="214" customFormat="false" ht="15" hidden="false" customHeight="true" outlineLevel="0" collapsed="false">
      <c r="A214" s="60" t="n">
        <f aca="false">(ROW()-17)*$B$6</f>
        <v>0.985</v>
      </c>
      <c r="B214" s="43" t="n">
        <f aca="false">IFERROR(SUMPRODUCT(Normalizacao!$AL$5:$AL$17,Pesos_Indicadores!$I$5:$I$17,((Pesos_Indicadores!$B$5:$B$17=$A$10)*A214+(Pesos_Indicadores!$B$5:$B$17&lt;&gt;$A$10)*Pesos_Indicadores!$G$5:$G$17*(1-A214)/(1-$B$10))),0)</f>
        <v>0.999653846153846</v>
      </c>
      <c r="C214" s="60" t="n">
        <f aca="false">IF(B214=0,"",IFERROR(SUMPRODUCT(Normalizacao!$AL$5:$AL$17,Pesos_Indicadores!$I$5:$I$17,((Pesos_Indicadores!$B$5:$B$17=$A$10)*A214+(Pesos_Indicadores!$B$5:$B$17&lt;&gt;$A$10)*Pesos_Indicadores!$G$5:$G$17*(1-A214)/(1-$B$10)),Normalizacao!$AI$5:$AI$17)/B214,""))</f>
        <v>0.633571220789594</v>
      </c>
      <c r="D214" s="60" t="n">
        <f aca="false">IF(B214=0,"",IFERROR(SUMPRODUCT(Normalizacao!$AL$5:$AL$17,Pesos_Indicadores!$I$5:$I$17,((Pesos_Indicadores!$B$5:$B$17=$A$10)*A214+(Pesos_Indicadores!$B$5:$B$17&lt;&gt;$A$10)*Pesos_Indicadores!$G$5:$G$17*(1-A214)/(1-$B$10)),Normalizacao!$AJ$5:$AJ$17)/B214,""))</f>
        <v>0.886188885617597</v>
      </c>
      <c r="E214" s="60" t="n">
        <f aca="false">IF(B214=0,"",IFERROR(SUMPRODUCT(Normalizacao!$AL$5:$AL$17,Pesos_Indicadores!$I$5:$I$17,((Pesos_Indicadores!$B$5:$B$17=$A$10)*A214+(Pesos_Indicadores!$B$5:$B$17&lt;&gt;$A$10)*Pesos_Indicadores!$G$5:$G$17*(1-A214)/(1-$B$10)),Normalizacao!$AK$5:$AK$17)/B214,""))</f>
        <v>0.89228601691303</v>
      </c>
      <c r="F214" s="17" t="str">
        <f aca="false">IF(C214="","",IF(INDEX(C214:E214,$B$5)&gt;=MAX(C214:E214),$B$4,INDEX(Pontuacao!$A$29:$A$31,MATCH(MAX(C214:E214),C214:E214,0))))</f>
        <v>Microsoft Azure</v>
      </c>
      <c r="G214" s="43" t="str">
        <f aca="false">IF(OR(F214="",F214=$B$4,ABS(A214-$B$10)&lt;0.000000001),"",ABS(A214-$B$10))</f>
        <v/>
      </c>
      <c r="I214" s="60" t="n">
        <f aca="false">(ROW()-17)*$B$6</f>
        <v>0.985</v>
      </c>
      <c r="J214" s="43" t="n">
        <f aca="false">IFERROR(SUMPRODUCT(Normalizacao!$AL$5:$AL$17,Pesos_Indicadores!$I$5:$I$17,((Pesos_Indicadores!$B$5:$B$17=$A$11)*I214+(Pesos_Indicadores!$B$5:$B$17&lt;&gt;$A$11)*Pesos_Indicadores!$G$5:$G$17*(1-I214)/(1-$B$11))),0)</f>
        <v>0.772692307692308</v>
      </c>
      <c r="K214" s="60" t="n">
        <f aca="false">IF(J214=0,"",IFERROR(SUMPRODUCT(Normalizacao!$AL$5:$AL$17,Pesos_Indicadores!$I$5:$I$17,((Pesos_Indicadores!$B$5:$B$17=$A$11)*I214+(Pesos_Indicadores!$B$5:$B$17&lt;&gt;$A$11)*Pesos_Indicadores!$G$5:$G$17*(1-I214)/(1-$B$11)),Normalizacao!$AI$5:$AI$17)/J214,""))</f>
        <v>0.847829126767077</v>
      </c>
      <c r="L214" s="60" t="n">
        <f aca="false">IF(J214=0,"",IFERROR(SUMPRODUCT(Normalizacao!$AL$5:$AL$17,Pesos_Indicadores!$I$5:$I$17,((Pesos_Indicadores!$B$5:$B$17=$A$11)*I214+(Pesos_Indicadores!$B$5:$B$17&lt;&gt;$A$11)*Pesos_Indicadores!$G$5:$G$17*(1-I214)/(1-$B$11)),Normalizacao!$AJ$5:$AJ$17)/J214,""))</f>
        <v>0.848326820070552</v>
      </c>
      <c r="M214" s="60" t="n">
        <f aca="false">IF(J214=0,"",IFERROR(SUMPRODUCT(Normalizacao!$AL$5:$AL$17,Pesos_Indicadores!$I$5:$I$17,((Pesos_Indicadores!$B$5:$B$17=$A$11)*I214+(Pesos_Indicadores!$B$5:$B$17&lt;&gt;$A$11)*Pesos_Indicadores!$G$5:$G$17*(1-I214)/(1-$B$11)),Normalizacao!$AK$5:$AK$17)/J214,""))</f>
        <v>0.849076084655504</v>
      </c>
      <c r="N214" s="17" t="str">
        <f aca="false">IF(K214="","",IF(INDEX(K214:M214,$B$5)&gt;=MAX(K214:M214),$B$4,INDEX(Pontuacao!$A$29:$A$31,MATCH(MAX(K214:M214),K214:M214,0))))</f>
        <v>Microsoft Azure</v>
      </c>
      <c r="O214" s="43" t="str">
        <f aca="false">IF(OR(N214="",N214=$B$4,ABS(I214-$B$11)&lt;0.000000001),"",ABS(I214-$B$11))</f>
        <v/>
      </c>
      <c r="Q214" s="60" t="n">
        <f aca="false">(ROW()-17)*$B$6</f>
        <v>0.985</v>
      </c>
      <c r="R214" s="43" t="n">
        <f aca="false">IFERROR(SUMPRODUCT(Normalizacao!$AL$5:$AL$17,Pesos_Indicadores!$I$5:$I$17,((Pesos_Indicadores!$B$5:$B$17=$A$12)*Q214+(Pesos_Indicadores!$B$5:$B$17&lt;&gt;$A$12)*Pesos_Indicadores!$G$5:$G$17*(1-Q214)/(1-$B$12))),0)</f>
        <v>0.998269230769231</v>
      </c>
      <c r="S214" s="60" t="n">
        <f aca="false">IF(R214=0,"",IFERROR(SUMPRODUCT(Normalizacao!$AL$5:$AL$17,Pesos_Indicadores!$I$5:$I$17,((Pesos_Indicadores!$B$5:$B$17=$A$12)*Q214+(Pesos_Indicadores!$B$5:$B$17&lt;&gt;$A$12)*Pesos_Indicadores!$G$5:$G$17*(1-Q214)/(1-$B$12)),Normalizacao!$AI$5:$AI$17)/R214,""))</f>
        <v>0.749689300086799</v>
      </c>
      <c r="T214" s="60" t="n">
        <f aca="false">IF(R214=0,"",IFERROR(SUMPRODUCT(Normalizacao!$AL$5:$AL$17,Pesos_Indicadores!$I$5:$I$17,((Pesos_Indicadores!$B$5:$B$17=$A$12)*Q214+(Pesos_Indicadores!$B$5:$B$17&lt;&gt;$A$12)*Pesos_Indicadores!$G$5:$G$17*(1-Q214)/(1-$B$12)),Normalizacao!$AJ$5:$AJ$17)/R214,""))</f>
        <v>0.751615452748486</v>
      </c>
      <c r="U214" s="60" t="n">
        <f aca="false">IF(R214=0,"",IFERROR(SUMPRODUCT(Normalizacao!$AL$5:$AL$17,Pesos_Indicadores!$I$5:$I$17,((Pesos_Indicadores!$B$5:$B$17=$A$12)*Q214+(Pesos_Indicadores!$B$5:$B$17&lt;&gt;$A$12)*Pesos_Indicadores!$G$5:$G$17*(1-Q214)/(1-$B$12)),Normalizacao!$AK$5:$AK$17)/R214,""))</f>
        <v>0.813322664018473</v>
      </c>
      <c r="V214" s="17" t="str">
        <f aca="false">IF(S214="","",IF(INDEX(S214:U214,$B$5)&gt;=MAX(S214:U214),$B$4,INDEX(Pontuacao!$A$29:$A$31,MATCH(MAX(S214:U214),S214:U214,0))))</f>
        <v>Microsoft Azure</v>
      </c>
      <c r="W214" s="43" t="str">
        <f aca="false">IF(OR(V214="",V214=$B$4,ABS(Q214-$B$12)&lt;0.000000001),"",ABS(Q214-$B$12))</f>
        <v/>
      </c>
    </row>
    <row r="215" customFormat="false" ht="15" hidden="false" customHeight="true" outlineLevel="0" collapsed="false">
      <c r="A215" s="60" t="n">
        <f aca="false">(ROW()-17)*$B$6</f>
        <v>0.99</v>
      </c>
      <c r="B215" s="43" t="n">
        <f aca="false">IFERROR(SUMPRODUCT(Normalizacao!$AL$5:$AL$17,Pesos_Indicadores!$I$5:$I$17,((Pesos_Indicadores!$B$5:$B$17=$A$10)*A215+(Pesos_Indicadores!$B$5:$B$17&lt;&gt;$A$10)*Pesos_Indicadores!$G$5:$G$17*(1-A215)/(1-$B$10))),0)</f>
        <v>0.999769230769231</v>
      </c>
      <c r="C215" s="60" t="n">
        <f aca="false">IF(B215=0,"",IFERROR(SUMPRODUCT(Normalizacao!$AL$5:$AL$17,Pesos_Indicadores!$I$5:$I$17,((Pesos_Indicadores!$B$5:$B$17=$A$10)*A215+(Pesos_Indicadores!$B$5:$B$17&lt;&gt;$A$10)*Pesos_Indicadores!$G$5:$G$17*(1-A215)/(1-$B$10)),Normalizacao!$AI$5:$AI$17)/B215,""))</f>
        <v>0.632954660897806</v>
      </c>
      <c r="D215" s="60" t="n">
        <f aca="false">IF(B215=0,"",IFERROR(SUMPRODUCT(Normalizacao!$AL$5:$AL$17,Pesos_Indicadores!$I$5:$I$17,((Pesos_Indicadores!$B$5:$B$17=$A$10)*A215+(Pesos_Indicadores!$B$5:$B$17&lt;&gt;$A$10)*Pesos_Indicadores!$G$5:$G$17*(1-A215)/(1-$B$10)),Normalizacao!$AJ$5:$AJ$17)/B215,""))</f>
        <v>0.886825345982852</v>
      </c>
      <c r="E215" s="60" t="n">
        <f aca="false">IF(B215=0,"",IFERROR(SUMPRODUCT(Normalizacao!$AL$5:$AL$17,Pesos_Indicadores!$I$5:$I$17,((Pesos_Indicadores!$B$5:$B$17=$A$10)*A215+(Pesos_Indicadores!$B$5:$B$17&lt;&gt;$A$10)*Pesos_Indicadores!$G$5:$G$17*(1-A215)/(1-$B$10)),Normalizacao!$AK$5:$AK$17)/B215,""))</f>
        <v>0.89266726164807</v>
      </c>
      <c r="F215" s="17" t="str">
        <f aca="false">IF(C215="","",IF(INDEX(C215:E215,$B$5)&gt;=MAX(C215:E215),$B$4,INDEX(Pontuacao!$A$29:$A$31,MATCH(MAX(C215:E215),C215:E215,0))))</f>
        <v>Microsoft Azure</v>
      </c>
      <c r="G215" s="43" t="str">
        <f aca="false">IF(OR(F215="",F215=$B$4,ABS(A215-$B$10)&lt;0.000000001),"",ABS(A215-$B$10))</f>
        <v/>
      </c>
      <c r="I215" s="60" t="n">
        <f aca="false">(ROW()-17)*$B$6</f>
        <v>0.99</v>
      </c>
      <c r="J215" s="43" t="n">
        <f aca="false">IFERROR(SUMPRODUCT(Normalizacao!$AL$5:$AL$17,Pesos_Indicadores!$I$5:$I$17,((Pesos_Indicadores!$B$5:$B$17=$A$11)*I215+(Pesos_Indicadores!$B$5:$B$17&lt;&gt;$A$11)*Pesos_Indicadores!$G$5:$G$17*(1-I215)/(1-$B$11))),0)</f>
        <v>0.771538461538462</v>
      </c>
      <c r="K215" s="60" t="n">
        <f aca="false">IF(J215=0,"",IFERROR(SUMPRODUCT(Normalizacao!$AL$5:$AL$17,Pesos_Indicadores!$I$5:$I$17,((Pesos_Indicadores!$B$5:$B$17=$A$11)*I215+(Pesos_Indicadores!$B$5:$B$17&lt;&gt;$A$11)*Pesos_Indicadores!$G$5:$G$17*(1-I215)/(1-$B$11)),Normalizacao!$AI$5:$AI$17)/J215,""))</f>
        <v>0.848550586797959</v>
      </c>
      <c r="L215" s="60" t="n">
        <f aca="false">IF(J215=0,"",IFERROR(SUMPRODUCT(Normalizacao!$AL$5:$AL$17,Pesos_Indicadores!$I$5:$I$17,((Pesos_Indicadores!$B$5:$B$17=$A$11)*I215+(Pesos_Indicadores!$B$5:$B$17&lt;&gt;$A$11)*Pesos_Indicadores!$G$5:$G$17*(1-I215)/(1-$B$11)),Normalizacao!$AJ$5:$AJ$17)/J215,""))</f>
        <v>0.848882878538298</v>
      </c>
      <c r="M215" s="60" t="n">
        <f aca="false">IF(J215=0,"",IFERROR(SUMPRODUCT(Normalizacao!$AL$5:$AL$17,Pesos_Indicadores!$I$5:$I$17,((Pesos_Indicadores!$B$5:$B$17=$A$11)*I215+(Pesos_Indicadores!$B$5:$B$17&lt;&gt;$A$11)*Pesos_Indicadores!$G$5:$G$17*(1-I215)/(1-$B$11)),Normalizacao!$AK$5:$AK$17)/J215,""))</f>
        <v>0.84926348224304</v>
      </c>
      <c r="N215" s="17" t="str">
        <f aca="false">IF(K215="","",IF(INDEX(K215:M215,$B$5)&gt;=MAX(K215:M215),$B$4,INDEX(Pontuacao!$A$29:$A$31,MATCH(MAX(K215:M215),K215:M215,0))))</f>
        <v>Microsoft Azure</v>
      </c>
      <c r="O215" s="43" t="str">
        <f aca="false">IF(OR(N215="",N215=$B$4,ABS(I215-$B$11)&lt;0.000000001),"",ABS(I215-$B$11))</f>
        <v/>
      </c>
      <c r="Q215" s="60" t="n">
        <f aca="false">(ROW()-17)*$B$6</f>
        <v>0.99</v>
      </c>
      <c r="R215" s="43" t="n">
        <f aca="false">IFERROR(SUMPRODUCT(Normalizacao!$AL$5:$AL$17,Pesos_Indicadores!$I$5:$I$17,((Pesos_Indicadores!$B$5:$B$17=$A$12)*Q215+(Pesos_Indicadores!$B$5:$B$17&lt;&gt;$A$12)*Pesos_Indicadores!$G$5:$G$17*(1-Q215)/(1-$B$12))),0)</f>
        <v>0.998846153846154</v>
      </c>
      <c r="S215" s="60" t="n">
        <f aca="false">IF(R215=0,"",IFERROR(SUMPRODUCT(Normalizacao!$AL$5:$AL$17,Pesos_Indicadores!$I$5:$I$17,((Pesos_Indicadores!$B$5:$B$17=$A$12)*Q215+(Pesos_Indicadores!$B$5:$B$17&lt;&gt;$A$12)*Pesos_Indicadores!$G$5:$G$17*(1-Q215)/(1-$B$12)),Normalizacao!$AI$5:$AI$17)/R215,""))</f>
        <v>0.749792986362543</v>
      </c>
      <c r="T215" s="60" t="n">
        <f aca="false">IF(R215=0,"",IFERROR(SUMPRODUCT(Normalizacao!$AL$5:$AL$17,Pesos_Indicadores!$I$5:$I$17,((Pesos_Indicadores!$B$5:$B$17=$A$12)*Q215+(Pesos_Indicadores!$B$5:$B$17&lt;&gt;$A$12)*Pesos_Indicadores!$G$5:$G$17*(1-Q215)/(1-$B$12)),Normalizacao!$AJ$5:$AJ$17)/R215,""))</f>
        <v>0.751076346453265</v>
      </c>
      <c r="U215" s="60" t="n">
        <f aca="false">IF(R215=0,"",IFERROR(SUMPRODUCT(Normalizacao!$AL$5:$AL$17,Pesos_Indicadores!$I$5:$I$17,((Pesos_Indicadores!$B$5:$B$17=$A$12)*Q215+(Pesos_Indicadores!$B$5:$B$17&lt;&gt;$A$12)*Pesos_Indicadores!$G$5:$G$17*(1-Q215)/(1-$B$12)),Normalizacao!$AK$5:$AK$17)/R215,""))</f>
        <v>0.813048125904235</v>
      </c>
      <c r="V215" s="17" t="str">
        <f aca="false">IF(S215="","",IF(INDEX(S215:U215,$B$5)&gt;=MAX(S215:U215),$B$4,INDEX(Pontuacao!$A$29:$A$31,MATCH(MAX(S215:U215),S215:U215,0))))</f>
        <v>Microsoft Azure</v>
      </c>
      <c r="W215" s="43" t="str">
        <f aca="false">IF(OR(V215="",V215=$B$4,ABS(Q215-$B$12)&lt;0.000000001),"",ABS(Q215-$B$12))</f>
        <v/>
      </c>
    </row>
    <row r="216" customFormat="false" ht="15" hidden="false" customHeight="true" outlineLevel="0" collapsed="false">
      <c r="A216" s="60" t="n">
        <f aca="false">(ROW()-17)*$B$6</f>
        <v>0.995</v>
      </c>
      <c r="B216" s="43" t="n">
        <f aca="false">IFERROR(SUMPRODUCT(Normalizacao!$AL$5:$AL$17,Pesos_Indicadores!$I$5:$I$17,((Pesos_Indicadores!$B$5:$B$17=$A$10)*A216+(Pesos_Indicadores!$B$5:$B$17&lt;&gt;$A$10)*Pesos_Indicadores!$G$5:$G$17*(1-A216)/(1-$B$10))),0)</f>
        <v>0.999884615384615</v>
      </c>
      <c r="C216" s="60" t="n">
        <f aca="false">IF(B216=0,"",IFERROR(SUMPRODUCT(Normalizacao!$AL$5:$AL$17,Pesos_Indicadores!$I$5:$I$17,((Pesos_Indicadores!$B$5:$B$17=$A$10)*A216+(Pesos_Indicadores!$B$5:$B$17&lt;&gt;$A$10)*Pesos_Indicadores!$G$5:$G$17*(1-A216)/(1-$B$10)),Normalizacao!$AI$5:$AI$17)/B216,""))</f>
        <v>0.63233824330549</v>
      </c>
      <c r="D216" s="60" t="n">
        <f aca="false">IF(B216=0,"",IFERROR(SUMPRODUCT(Normalizacao!$AL$5:$AL$17,Pesos_Indicadores!$I$5:$I$17,((Pesos_Indicadores!$B$5:$B$17=$A$10)*A216+(Pesos_Indicadores!$B$5:$B$17&lt;&gt;$A$10)*Pesos_Indicadores!$G$5:$G$17*(1-A216)/(1-$B$10)),Normalizacao!$AJ$5:$AJ$17)/B216,""))</f>
        <v>0.88746165945569</v>
      </c>
      <c r="E216" s="60" t="n">
        <f aca="false">IF(B216=0,"",IFERROR(SUMPRODUCT(Normalizacao!$AL$5:$AL$17,Pesos_Indicadores!$I$5:$I$17,((Pesos_Indicadores!$B$5:$B$17=$A$10)*A216+(Pesos_Indicadores!$B$5:$B$17&lt;&gt;$A$10)*Pesos_Indicadores!$G$5:$G$17*(1-A216)/(1-$B$10)),Normalizacao!$AK$5:$AK$17)/B216,""))</f>
        <v>0.893048418393403</v>
      </c>
      <c r="F216" s="17" t="str">
        <f aca="false">IF(C216="","",IF(INDEX(C216:E216,$B$5)&gt;=MAX(C216:E216),$B$4,INDEX(Pontuacao!$A$29:$A$31,MATCH(MAX(C216:E216),C216:E216,0))))</f>
        <v>Microsoft Azure</v>
      </c>
      <c r="G216" s="43" t="str">
        <f aca="false">IF(OR(F216="",F216=$B$4,ABS(A216-$B$10)&lt;0.000000001),"",ABS(A216-$B$10))</f>
        <v/>
      </c>
      <c r="I216" s="60" t="n">
        <f aca="false">(ROW()-17)*$B$6</f>
        <v>0.995</v>
      </c>
      <c r="J216" s="43" t="n">
        <f aca="false">IFERROR(SUMPRODUCT(Normalizacao!$AL$5:$AL$17,Pesos_Indicadores!$I$5:$I$17,((Pesos_Indicadores!$B$5:$B$17=$A$11)*I216+(Pesos_Indicadores!$B$5:$B$17&lt;&gt;$A$11)*Pesos_Indicadores!$G$5:$G$17*(1-I216)/(1-$B$11))),0)</f>
        <v>0.770384615384615</v>
      </c>
      <c r="K216" s="60" t="n">
        <f aca="false">IF(J216=0,"",IFERROR(SUMPRODUCT(Normalizacao!$AL$5:$AL$17,Pesos_Indicadores!$I$5:$I$17,((Pesos_Indicadores!$B$5:$B$17=$A$11)*I216+(Pesos_Indicadores!$B$5:$B$17&lt;&gt;$A$11)*Pesos_Indicadores!$G$5:$G$17*(1-I216)/(1-$B$11)),Normalizacao!$AI$5:$AI$17)/J216,""))</f>
        <v>0.849274207967225</v>
      </c>
      <c r="L216" s="60" t="n">
        <f aca="false">IF(J216=0,"",IFERROR(SUMPRODUCT(Normalizacao!$AL$5:$AL$17,Pesos_Indicadores!$I$5:$I$17,((Pesos_Indicadores!$B$5:$B$17=$A$11)*I216+(Pesos_Indicadores!$B$5:$B$17&lt;&gt;$A$11)*Pesos_Indicadores!$G$5:$G$17*(1-I216)/(1-$B$11)),Normalizacao!$AJ$5:$AJ$17)/J216,""))</f>
        <v>0.849440602682932</v>
      </c>
      <c r="M216" s="60" t="n">
        <f aca="false">IF(J216=0,"",IFERROR(SUMPRODUCT(Normalizacao!$AL$5:$AL$17,Pesos_Indicadores!$I$5:$I$17,((Pesos_Indicadores!$B$5:$B$17=$A$11)*I216+(Pesos_Indicadores!$B$5:$B$17&lt;&gt;$A$11)*Pesos_Indicadores!$G$5:$G$17*(1-I216)/(1-$B$11)),Normalizacao!$AK$5:$AK$17)/J216,""))</f>
        <v>0.849451441181312</v>
      </c>
      <c r="N216" s="17" t="str">
        <f aca="false">IF(K216="","",IF(INDEX(K216:M216,$B$5)&gt;=MAX(K216:M216),$B$4,INDEX(Pontuacao!$A$29:$A$31,MATCH(MAX(K216:M216),K216:M216,0))))</f>
        <v>Microsoft Azure</v>
      </c>
      <c r="O216" s="43" t="str">
        <f aca="false">IF(OR(N216="",N216=$B$4,ABS(I216-$B$11)&lt;0.000000001),"",ABS(I216-$B$11))</f>
        <v/>
      </c>
      <c r="Q216" s="60" t="n">
        <f aca="false">(ROW()-17)*$B$6</f>
        <v>0.995</v>
      </c>
      <c r="R216" s="43" t="n">
        <f aca="false">IFERROR(SUMPRODUCT(Normalizacao!$AL$5:$AL$17,Pesos_Indicadores!$I$5:$I$17,((Pesos_Indicadores!$B$5:$B$17=$A$12)*Q216+(Pesos_Indicadores!$B$5:$B$17&lt;&gt;$A$12)*Pesos_Indicadores!$G$5:$G$17*(1-Q216)/(1-$B$12))),0)</f>
        <v>0.999423076923077</v>
      </c>
      <c r="S216" s="60" t="n">
        <f aca="false">IF(R216=0,"",IFERROR(SUMPRODUCT(Normalizacao!$AL$5:$AL$17,Pesos_Indicadores!$I$5:$I$17,((Pesos_Indicadores!$B$5:$B$17=$A$12)*Q216+(Pesos_Indicadores!$B$5:$B$17&lt;&gt;$A$12)*Pesos_Indicadores!$G$5:$G$17*(1-Q216)/(1-$B$12)),Normalizacao!$AI$5:$AI$17)/R216,""))</f>
        <v>0.749896552931215</v>
      </c>
      <c r="T216" s="60" t="n">
        <f aca="false">IF(R216=0,"",IFERROR(SUMPRODUCT(Normalizacao!$AL$5:$AL$17,Pesos_Indicadores!$I$5:$I$17,((Pesos_Indicadores!$B$5:$B$17=$A$12)*Q216+(Pesos_Indicadores!$B$5:$B$17&lt;&gt;$A$12)*Pesos_Indicadores!$G$5:$G$17*(1-Q216)/(1-$B$12)),Normalizacao!$AJ$5:$AJ$17)/R216,""))</f>
        <v>0.75053786256285</v>
      </c>
      <c r="U216" s="60" t="n">
        <f aca="false">IF(R216=0,"",IFERROR(SUMPRODUCT(Normalizacao!$AL$5:$AL$17,Pesos_Indicadores!$I$5:$I$17,((Pesos_Indicadores!$B$5:$B$17=$A$12)*Q216+(Pesos_Indicadores!$B$5:$B$17&lt;&gt;$A$12)*Pesos_Indicadores!$G$5:$G$17*(1-Q216)/(1-$B$12)),Normalizacao!$AK$5:$AK$17)/R216,""))</f>
        <v>0.812773904747604</v>
      </c>
      <c r="V216" s="17" t="str">
        <f aca="false">IF(S216="","",IF(INDEX(S216:U216,$B$5)&gt;=MAX(S216:U216),$B$4,INDEX(Pontuacao!$A$29:$A$31,MATCH(MAX(S216:U216),S216:U216,0))))</f>
        <v>Microsoft Azure</v>
      </c>
      <c r="W216" s="43" t="str">
        <f aca="false">IF(OR(V216="",V216=$B$4,ABS(Q216-$B$12)&lt;0.000000001),"",ABS(Q216-$B$12))</f>
        <v/>
      </c>
    </row>
    <row r="217" customFormat="false" ht="15" hidden="false" customHeight="true" outlineLevel="0" collapsed="false">
      <c r="A217" s="60" t="n">
        <f aca="false">(ROW()-17)*$B$6</f>
        <v>1</v>
      </c>
      <c r="B217" s="43" t="n">
        <f aca="false">IFERROR(SUMPRODUCT(Normalizacao!$AL$5:$AL$17,Pesos_Indicadores!$I$5:$I$17,((Pesos_Indicadores!$B$5:$B$17=$A$10)*A217+(Pesos_Indicadores!$B$5:$B$17&lt;&gt;$A$10)*Pesos_Indicadores!$G$5:$G$17*(1-A217)/(1-$B$10))),0)</f>
        <v>1</v>
      </c>
      <c r="C217" s="60" t="n">
        <f aca="false">IF(B217=0,"",IFERROR(SUMPRODUCT(Normalizacao!$AL$5:$AL$17,Pesos_Indicadores!$I$5:$I$17,((Pesos_Indicadores!$B$5:$B$17=$A$10)*A217+(Pesos_Indicadores!$B$5:$B$17&lt;&gt;$A$10)*Pesos_Indicadores!$G$5:$G$17*(1-A217)/(1-$B$10)),Normalizacao!$AI$5:$AI$17)/B217,""))</f>
        <v>0.631721967963387</v>
      </c>
      <c r="D217" s="60" t="n">
        <f aca="false">IF(B217=0,"",IFERROR(SUMPRODUCT(Normalizacao!$AL$5:$AL$17,Pesos_Indicadores!$I$5:$I$17,((Pesos_Indicadores!$B$5:$B$17=$A$10)*A217+(Pesos_Indicadores!$B$5:$B$17&lt;&gt;$A$10)*Pesos_Indicadores!$G$5:$G$17*(1-A217)/(1-$B$10)),Normalizacao!$AJ$5:$AJ$17)/B217,""))</f>
        <v>0.888097826086957</v>
      </c>
      <c r="E217" s="60" t="n">
        <f aca="false">IF(B217=0,"",IFERROR(SUMPRODUCT(Normalizacao!$AL$5:$AL$17,Pesos_Indicadores!$I$5:$I$17,((Pesos_Indicadores!$B$5:$B$17=$A$10)*A217+(Pesos_Indicadores!$B$5:$B$17&lt;&gt;$A$10)*Pesos_Indicadores!$G$5:$G$17*(1-A217)/(1-$B$10)),Normalizacao!$AK$5:$AK$17)/B217,""))</f>
        <v>0.893429487179487</v>
      </c>
      <c r="F217" s="17" t="str">
        <f aca="false">IF(C217="","",IF(INDEX(C217:E217,$B$5)&gt;=MAX(C217:E217),$B$4,INDEX(Pontuacao!$A$29:$A$31,MATCH(MAX(C217:E217),C217:E217,0))))</f>
        <v>Microsoft Azure</v>
      </c>
      <c r="G217" s="43" t="str">
        <f aca="false">IF(OR(F217="",F217=$B$4,ABS(A217-$B$10)&lt;0.000000001),"",ABS(A217-$B$10))</f>
        <v/>
      </c>
      <c r="I217" s="60" t="n">
        <f aca="false">(ROW()-17)*$B$6</f>
        <v>1</v>
      </c>
      <c r="J217" s="43" t="n">
        <f aca="false">IFERROR(SUMPRODUCT(Normalizacao!$AL$5:$AL$17,Pesos_Indicadores!$I$5:$I$17,((Pesos_Indicadores!$B$5:$B$17=$A$11)*I217+(Pesos_Indicadores!$B$5:$B$17&lt;&gt;$A$11)*Pesos_Indicadores!$G$5:$G$17*(1-I217)/(1-$B$11))),0)</f>
        <v>0.769230769230769</v>
      </c>
      <c r="K217" s="60" t="n">
        <f aca="false">IF(J217=0,"",IFERROR(SUMPRODUCT(Normalizacao!$AL$5:$AL$17,Pesos_Indicadores!$I$5:$I$17,((Pesos_Indicadores!$B$5:$B$17=$A$11)*I217+(Pesos_Indicadores!$B$5:$B$17&lt;&gt;$A$11)*Pesos_Indicadores!$G$5:$G$17*(1-I217)/(1-$B$11)),Normalizacao!$AI$5:$AI$17)/J217,""))</f>
        <v>0.85</v>
      </c>
      <c r="L217" s="60" t="n">
        <f aca="false">IF(J217=0,"",IFERROR(SUMPRODUCT(Normalizacao!$AL$5:$AL$17,Pesos_Indicadores!$I$5:$I$17,((Pesos_Indicadores!$B$5:$B$17=$A$11)*I217+(Pesos_Indicadores!$B$5:$B$17&lt;&gt;$A$11)*Pesos_Indicadores!$G$5:$G$17*(1-I217)/(1-$B$11)),Normalizacao!$AJ$5:$AJ$17)/J217,""))</f>
        <v>0.85</v>
      </c>
      <c r="M217" s="60" t="n">
        <f aca="false">IF(J217=0,"",IFERROR(SUMPRODUCT(Normalizacao!$AL$5:$AL$17,Pesos_Indicadores!$I$5:$I$17,((Pesos_Indicadores!$B$5:$B$17=$A$11)*I217+(Pesos_Indicadores!$B$5:$B$17&lt;&gt;$A$11)*Pesos_Indicadores!$G$5:$G$17*(1-I217)/(1-$B$11)),Normalizacao!$AK$5:$AK$17)/J217,""))</f>
        <v>0.8496399639964</v>
      </c>
      <c r="N217" s="17" t="str">
        <f aca="false">IF(K217="","",IF(INDEX(K217:M217,$B$5)&gt;=MAX(K217:M217),$B$4,INDEX(Pontuacao!$A$29:$A$31,MATCH(MAX(K217:M217),K217:M217,0))))</f>
        <v>AWS</v>
      </c>
      <c r="O217" s="43" t="n">
        <f aca="false">IF(OR(N217="",N217=$B$4,ABS(I217-$B$11)&lt;0.000000001),"",ABS(I217-$B$11))</f>
        <v>0.909090909090909</v>
      </c>
      <c r="Q217" s="60" t="n">
        <f aca="false">(ROW()-17)*$B$6</f>
        <v>1</v>
      </c>
      <c r="R217" s="43" t="n">
        <f aca="false">IFERROR(SUMPRODUCT(Normalizacao!$AL$5:$AL$17,Pesos_Indicadores!$I$5:$I$17,((Pesos_Indicadores!$B$5:$B$17=$A$12)*Q217+(Pesos_Indicadores!$B$5:$B$17&lt;&gt;$A$12)*Pesos_Indicadores!$G$5:$G$17*(1-Q217)/(1-$B$12))),0)</f>
        <v>1</v>
      </c>
      <c r="S217" s="60" t="n">
        <f aca="false">IF(R217=0,"",IFERROR(SUMPRODUCT(Normalizacao!$AL$5:$AL$17,Pesos_Indicadores!$I$5:$I$17,((Pesos_Indicadores!$B$5:$B$17=$A$12)*Q217+(Pesos_Indicadores!$B$5:$B$17&lt;&gt;$A$12)*Pesos_Indicadores!$G$5:$G$17*(1-Q217)/(1-$B$12)),Normalizacao!$AI$5:$AI$17)/R217,""))</f>
        <v>0.75</v>
      </c>
      <c r="T217" s="60" t="n">
        <f aca="false">IF(R217=0,"",IFERROR(SUMPRODUCT(Normalizacao!$AL$5:$AL$17,Pesos_Indicadores!$I$5:$I$17,((Pesos_Indicadores!$B$5:$B$17=$A$12)*Q217+(Pesos_Indicadores!$B$5:$B$17&lt;&gt;$A$12)*Pesos_Indicadores!$G$5:$G$17*(1-Q217)/(1-$B$12)),Normalizacao!$AJ$5:$AJ$17)/R217,""))</f>
        <v>0.75</v>
      </c>
      <c r="U217" s="60" t="n">
        <f aca="false">IF(R217=0,"",IFERROR(SUMPRODUCT(Normalizacao!$AL$5:$AL$17,Pesos_Indicadores!$I$5:$I$17,((Pesos_Indicadores!$B$5:$B$17=$A$12)*Q217+(Pesos_Indicadores!$B$5:$B$17&lt;&gt;$A$12)*Pesos_Indicadores!$G$5:$G$17*(1-Q217)/(1-$B$12)),Normalizacao!$AK$5:$AK$17)/R217,""))</f>
        <v>0.8125</v>
      </c>
      <c r="V217" s="17" t="str">
        <f aca="false">IF(S217="","",IF(INDEX(S217:U217,$B$5)&gt;=MAX(S217:U217),$B$4,INDEX(Pontuacao!$A$29:$A$31,MATCH(MAX(S217:U217),S217:U217,0))))</f>
        <v>Microsoft Azure</v>
      </c>
      <c r="W217" s="43" t="str">
        <f aca="false">IF(OR(V217="",V217=$B$4,ABS(Q217-$B$12)&lt;0.000000001),"",ABS(Q217-$B$12))</f>
        <v/>
      </c>
    </row>
  </sheetData>
  <mergeCells count="3">
    <mergeCell ref="A15:G15"/>
    <mergeCell ref="I15:O15"/>
    <mergeCell ref="Q15:W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0"/>
    <col collapsed="false" customWidth="true" hidden="false" outlineLevel="0" max="7" min="7" style="1" width="22"/>
  </cols>
  <sheetData>
    <row r="1" customFormat="false" ht="15.75" hidden="false" customHeight="true" outlineLevel="0" collapsed="false">
      <c r="A1" s="14" t="s">
        <v>288</v>
      </c>
    </row>
    <row r="2" customFormat="false" ht="15" hidden="false" customHeight="true" outlineLevel="0" collapsed="false">
      <c r="A2" s="15" t="s">
        <v>289</v>
      </c>
    </row>
    <row r="4" customFormat="false" ht="15" hidden="false" customHeight="true" outlineLevel="0" collapsed="false">
      <c r="A4" s="17" t="s">
        <v>290</v>
      </c>
      <c r="B4" s="18" t="s">
        <v>291</v>
      </c>
      <c r="C4" s="18"/>
      <c r="D4" s="18"/>
      <c r="E4" s="18"/>
      <c r="F4" s="18"/>
    </row>
    <row r="6" customFormat="false" ht="15" hidden="false" customHeight="true" outlineLevel="0" collapsed="false">
      <c r="A6" s="16" t="s">
        <v>292</v>
      </c>
      <c r="B6" s="16" t="s">
        <v>293</v>
      </c>
      <c r="C6" s="16" t="s">
        <v>294</v>
      </c>
      <c r="D6" s="16" t="s">
        <v>295</v>
      </c>
      <c r="E6" s="16" t="s">
        <v>159</v>
      </c>
      <c r="F6" s="16" t="s">
        <v>296</v>
      </c>
      <c r="G6" s="16" t="s">
        <v>297</v>
      </c>
    </row>
    <row r="7" customFormat="false" ht="15" hidden="false" customHeight="true" outlineLevel="0" collapsed="false">
      <c r="A7" s="17" t="s">
        <v>298</v>
      </c>
      <c r="B7" s="61" t="n">
        <v>0.0909090909090909</v>
      </c>
      <c r="C7" s="62" t="n">
        <f aca="false">AHP_Dimensoes!E20</f>
        <v>0.0909090909090909</v>
      </c>
      <c r="D7" s="63" t="n">
        <f aca="false">IF(OR(NOT(ISNUMBER(B7)),NOT(ISNUMBER(C7))),"",C7-B7)</f>
        <v>0</v>
      </c>
      <c r="E7" s="27" t="str">
        <f aca="false">IF(D7="","",IF(ABS(D7)&lt;=Parametros!$B$49,"OK","DIVERGE"))</f>
        <v>OK</v>
      </c>
      <c r="F7" s="17" t="s">
        <v>299</v>
      </c>
      <c r="G7" s="64" t="n">
        <v>0.0909090909090909</v>
      </c>
    </row>
    <row r="8" customFormat="false" ht="15" hidden="false" customHeight="true" outlineLevel="0" collapsed="false">
      <c r="A8" s="17" t="s">
        <v>300</v>
      </c>
      <c r="B8" s="61" t="n">
        <v>0.0909090909090909</v>
      </c>
      <c r="C8" s="62" t="n">
        <f aca="false">AHP_Dimensoes!E21</f>
        <v>0.0909090909090909</v>
      </c>
      <c r="D8" s="63" t="n">
        <f aca="false">IF(OR(NOT(ISNUMBER(B8)),NOT(ISNUMBER(C8))),"",C8-B8)</f>
        <v>0</v>
      </c>
      <c r="E8" s="27" t="str">
        <f aca="false">IF(D8="","",IF(ABS(D8)&lt;=Parametros!$B$49,"OK","DIVERGE"))</f>
        <v>OK</v>
      </c>
      <c r="F8" s="17" t="s">
        <v>299</v>
      </c>
      <c r="G8" s="64" t="n">
        <v>0.0909090909090909</v>
      </c>
    </row>
    <row r="9" customFormat="false" ht="15" hidden="false" customHeight="true" outlineLevel="0" collapsed="false">
      <c r="A9" s="17" t="s">
        <v>301</v>
      </c>
      <c r="B9" s="61" t="n">
        <v>0.818181818181818</v>
      </c>
      <c r="C9" s="62" t="n">
        <f aca="false">AHP_Dimensoes!E22</f>
        <v>0.818181818181818</v>
      </c>
      <c r="D9" s="63" t="n">
        <f aca="false">IF(OR(NOT(ISNUMBER(B9)),NOT(ISNUMBER(C9))),"",C9-B9)</f>
        <v>0</v>
      </c>
      <c r="E9" s="27" t="str">
        <f aca="false">IF(D9="","",IF(ABS(D9)&lt;=Parametros!$B$49,"OK","DIVERGE"))</f>
        <v>OK</v>
      </c>
      <c r="F9" s="17" t="s">
        <v>299</v>
      </c>
      <c r="G9" s="64" t="n">
        <v>0.818181818181818</v>
      </c>
    </row>
    <row r="10" customFormat="false" ht="15" hidden="false" customHeight="true" outlineLevel="0" collapsed="false">
      <c r="A10" s="17" t="s">
        <v>302</v>
      </c>
      <c r="B10" s="61" t="n">
        <v>3</v>
      </c>
      <c r="C10" s="62" t="n">
        <f aca="false">AHP_Dimensoes!B30</f>
        <v>3</v>
      </c>
      <c r="D10" s="63" t="n">
        <f aca="false">IF(OR(NOT(ISNUMBER(B10)),NOT(ISNUMBER(C10))),"",C10-B10)</f>
        <v>0</v>
      </c>
      <c r="E10" s="27" t="str">
        <f aca="false">IF(D10="","",IF(ABS(D10)&lt;=Parametros!$B$49,"OK","DIVERGE"))</f>
        <v>OK</v>
      </c>
      <c r="F10" s="17" t="s">
        <v>303</v>
      </c>
      <c r="G10" s="64" t="n">
        <v>3</v>
      </c>
    </row>
    <row r="11" customFormat="false" ht="15" hidden="false" customHeight="true" outlineLevel="0" collapsed="false">
      <c r="A11" s="17" t="s">
        <v>304</v>
      </c>
      <c r="B11" s="61" t="n">
        <v>0</v>
      </c>
      <c r="C11" s="62" t="n">
        <f aca="false">AHP_Dimensoes!B32</f>
        <v>0</v>
      </c>
      <c r="D11" s="63" t="n">
        <f aca="false">IF(OR(NOT(ISNUMBER(B11)),NOT(ISNUMBER(C11))),"",C11-B11)</f>
        <v>0</v>
      </c>
      <c r="E11" s="27" t="str">
        <f aca="false">IF(D11="","",IF(ABS(D11)&lt;=Parametros!$B$49,"OK","DIVERGE"))</f>
        <v>OK</v>
      </c>
      <c r="F11" s="17" t="s">
        <v>303</v>
      </c>
      <c r="G11" s="64" t="n">
        <v>0</v>
      </c>
    </row>
    <row r="12" customFormat="false" ht="15" hidden="false" customHeight="true" outlineLevel="0" collapsed="false">
      <c r="A12" s="17" t="s">
        <v>305</v>
      </c>
      <c r="B12" s="61" t="n">
        <v>0.58</v>
      </c>
      <c r="C12" s="62" t="n">
        <f aca="false">AHP_Dimensoes!B33</f>
        <v>0.58</v>
      </c>
      <c r="D12" s="63" t="n">
        <f aca="false">IF(OR(NOT(ISNUMBER(B12)),NOT(ISNUMBER(C12))),"",C12-B12)</f>
        <v>0</v>
      </c>
      <c r="E12" s="27" t="str">
        <f aca="false">IF(D12="","",IF(ABS(D12)&lt;=Parametros!$B$49,"OK","DIVERGE"))</f>
        <v>OK</v>
      </c>
      <c r="F12" s="17" t="s">
        <v>306</v>
      </c>
      <c r="G12" s="64" t="n">
        <v>0.58</v>
      </c>
    </row>
    <row r="13" customFormat="false" ht="15" hidden="false" customHeight="true" outlineLevel="0" collapsed="false">
      <c r="A13" s="17" t="s">
        <v>307</v>
      </c>
      <c r="B13" s="61" t="n">
        <v>0</v>
      </c>
      <c r="C13" s="62" t="n">
        <f aca="false">AHP_Dimensoes!B34</f>
        <v>0</v>
      </c>
      <c r="D13" s="63" t="n">
        <f aca="false">IF(OR(NOT(ISNUMBER(B13)),NOT(ISNUMBER(C13))),"",C13-B13)</f>
        <v>0</v>
      </c>
      <c r="E13" s="27" t="str">
        <f aca="false">IF(D13="","",IF(ABS(D13)&lt;=Parametros!$B$49,"OK","DIVERGE"))</f>
        <v>OK</v>
      </c>
      <c r="F13" s="17" t="s">
        <v>303</v>
      </c>
      <c r="G13" s="64" t="n">
        <v>0</v>
      </c>
    </row>
    <row r="14" customFormat="false" ht="15" hidden="false" customHeight="true" outlineLevel="0" collapsed="false">
      <c r="A14" s="17" t="s">
        <v>308</v>
      </c>
      <c r="B14" s="61" t="n">
        <v>12</v>
      </c>
      <c r="C14" s="62" t="n">
        <f aca="false">Normalizacao!B24</f>
        <v>12</v>
      </c>
      <c r="D14" s="63" t="n">
        <f aca="false">IF(OR(NOT(ISNUMBER(B14)),NOT(ISNUMBER(C14))),"",C14-B14)</f>
        <v>0</v>
      </c>
      <c r="E14" s="27" t="str">
        <f aca="false">IF(D14="","",IF(ABS(D14)&lt;=Parametros!$B$49,"OK","DIVERGE"))</f>
        <v>OK</v>
      </c>
      <c r="F14" s="17" t="s">
        <v>309</v>
      </c>
      <c r="G14" s="64" t="n">
        <v>4</v>
      </c>
    </row>
    <row r="15" customFormat="false" ht="15" hidden="false" customHeight="true" outlineLevel="0" collapsed="false">
      <c r="A15" s="17" t="s">
        <v>212</v>
      </c>
      <c r="B15" s="61" t="n">
        <v>0.923076923076923</v>
      </c>
      <c r="C15" s="62" t="n">
        <f aca="false">Normalizacao!B26</f>
        <v>0.923076923076923</v>
      </c>
      <c r="D15" s="63" t="n">
        <f aca="false">IF(OR(NOT(ISNUMBER(B15)),NOT(ISNUMBER(C15))),"",C15-B15)</f>
        <v>0</v>
      </c>
      <c r="E15" s="27" t="str">
        <f aca="false">IF(D15="","",IF(ABS(D15)&lt;=Parametros!$B$49,"OK","DIVERGE"))</f>
        <v>OK</v>
      </c>
      <c r="F15" s="17" t="s">
        <v>309</v>
      </c>
      <c r="G15" s="64" t="n">
        <v>0.307692307692308</v>
      </c>
    </row>
    <row r="16" customFormat="false" ht="15" hidden="false" customHeight="true" outlineLevel="0" collapsed="false">
      <c r="A16" s="17" t="s">
        <v>310</v>
      </c>
      <c r="B16" s="61" t="n">
        <v>1</v>
      </c>
      <c r="C16" s="62" t="n">
        <f aca="false">Pesos_Efetivos!E20</f>
        <v>1</v>
      </c>
      <c r="D16" s="63" t="n">
        <f aca="false">IF(OR(NOT(ISNUMBER(B16)),NOT(ISNUMBER(C16))),"",C16-B16)</f>
        <v>0</v>
      </c>
      <c r="E16" s="27" t="str">
        <f aca="false">IF(D16="","",IF(ABS(D16)&lt;=Parametros!$B$49,"OK","DIVERGE"))</f>
        <v>OK</v>
      </c>
      <c r="F16" s="17" t="s">
        <v>311</v>
      </c>
      <c r="G16" s="64" t="n">
        <v>1</v>
      </c>
    </row>
    <row r="17" customFormat="false" ht="15" hidden="false" customHeight="true" outlineLevel="0" collapsed="false">
      <c r="A17" s="17" t="s">
        <v>312</v>
      </c>
      <c r="B17" s="61" t="n">
        <v>0.092857</v>
      </c>
      <c r="C17" s="62" t="n">
        <f aca="false">Pesos_Efetivos!C24</f>
        <v>0.0928571428571429</v>
      </c>
      <c r="D17" s="63" t="n">
        <f aca="false">IF(OR(NOT(ISNUMBER(B17)),NOT(ISNUMBER(C17))),"",C17-B17)</f>
        <v>1.42857142851338E-007</v>
      </c>
      <c r="E17" s="27" t="str">
        <f aca="false">IF(D17="","",IF(ABS(D17)&lt;=Parametros!$B$49,"OK","DIVERGE"))</f>
        <v>OK</v>
      </c>
      <c r="F17" s="17" t="s">
        <v>313</v>
      </c>
      <c r="G17" s="64" t="n">
        <v>0.127869</v>
      </c>
    </row>
    <row r="18" customFormat="false" ht="15" hidden="false" customHeight="true" outlineLevel="0" collapsed="false">
      <c r="A18" s="17" t="s">
        <v>314</v>
      </c>
      <c r="B18" s="61" t="n">
        <v>0.071429</v>
      </c>
      <c r="C18" s="62" t="n">
        <f aca="false">Pesos_Efetivos!C25</f>
        <v>0.0714285714285714</v>
      </c>
      <c r="D18" s="63" t="n">
        <f aca="false">IF(OR(NOT(ISNUMBER(B18)),NOT(ISNUMBER(C18))),"",C18-B18)</f>
        <v>-4.2857142858177E-007</v>
      </c>
      <c r="E18" s="27" t="str">
        <f aca="false">IF(D18="","",IF(ABS(D18)&lt;=Parametros!$B$49,"OK","DIVERGE"))</f>
        <v>OK</v>
      </c>
      <c r="F18" s="17" t="s">
        <v>313</v>
      </c>
      <c r="G18" s="64" t="n">
        <v>0.104918</v>
      </c>
    </row>
    <row r="19" customFormat="false" ht="15" hidden="false" customHeight="true" outlineLevel="0" collapsed="false">
      <c r="A19" s="17" t="s">
        <v>315</v>
      </c>
      <c r="B19" s="61" t="n">
        <v>0.835714</v>
      </c>
      <c r="C19" s="62" t="n">
        <f aca="false">Pesos_Efetivos!C26</f>
        <v>0.835714285714286</v>
      </c>
      <c r="D19" s="63" t="n">
        <f aca="false">IF(OR(NOT(ISNUMBER(B19)),NOT(ISNUMBER(C19))),"",C19-B19)</f>
        <v>2.85714285785943E-007</v>
      </c>
      <c r="E19" s="27" t="str">
        <f aca="false">IF(D19="","",IF(ABS(D19)&lt;=Parametros!$B$49,"OK","DIVERGE"))</f>
        <v>OK</v>
      </c>
      <c r="F19" s="17" t="s">
        <v>313</v>
      </c>
      <c r="G19" s="64" t="n">
        <v>0.767213</v>
      </c>
    </row>
    <row r="20" customFormat="false" ht="15" hidden="false" customHeight="true" outlineLevel="0" collapsed="false">
      <c r="A20" s="17" t="s">
        <v>316</v>
      </c>
      <c r="B20" s="61" t="n">
        <v>0.74616</v>
      </c>
      <c r="C20" s="62" t="n">
        <f aca="false">Pontuacao!G18</f>
        <v>0.746159897025172</v>
      </c>
      <c r="D20" s="63" t="n">
        <f aca="false">IF(OR(NOT(ISNUMBER(B20)),NOT(ISNUMBER(C20))),"",C20-B20)</f>
        <v>-1.02974828553037E-007</v>
      </c>
      <c r="E20" s="27" t="str">
        <f aca="false">IF(D20="","",IF(ABS(D20)&lt;=Parametros!$B$49,"OK","DIVERGE"))</f>
        <v>OK</v>
      </c>
      <c r="F20" s="17" t="s">
        <v>317</v>
      </c>
      <c r="G20" s="64" t="n">
        <v>0.799833</v>
      </c>
    </row>
    <row r="21" customFormat="false" ht="15" hidden="false" customHeight="true" outlineLevel="0" collapsed="false">
      <c r="A21" s="17" t="s">
        <v>318</v>
      </c>
      <c r="B21" s="61" t="n">
        <v>0.769966</v>
      </c>
      <c r="C21" s="62" t="n">
        <f aca="false">Pontuacao!H18</f>
        <v>0.769966226708075</v>
      </c>
      <c r="D21" s="63" t="n">
        <f aca="false">IF(OR(NOT(ISNUMBER(B21)),NOT(ISNUMBER(C21))),"",C21-B21)</f>
        <v>2.26708074424486E-007</v>
      </c>
      <c r="E21" s="27" t="str">
        <f aca="false">IF(D21="","",IF(ABS(D21)&lt;=Parametros!$B$49,"OK","DIVERGE"))</f>
        <v>OK</v>
      </c>
      <c r="F21" s="17" t="s">
        <v>317</v>
      </c>
      <c r="G21" s="64" t="n">
        <v>0.805417</v>
      </c>
    </row>
    <row r="22" customFormat="false" ht="15" hidden="false" customHeight="true" outlineLevel="0" collapsed="false">
      <c r="A22" s="17" t="s">
        <v>319</v>
      </c>
      <c r="B22" s="61" t="n">
        <v>0.822668</v>
      </c>
      <c r="C22" s="62" t="n">
        <f aca="false">Pontuacao!I18</f>
        <v>0.822667735523552</v>
      </c>
      <c r="D22" s="63" t="n">
        <f aca="false">IF(OR(NOT(ISNUMBER(B22)),NOT(ISNUMBER(C22))),"",C22-B22)</f>
        <v>-2.64476447631168E-007</v>
      </c>
      <c r="E22" s="27" t="str">
        <f aca="false">IF(D22="","",IF(ABS(D22)&lt;=Parametros!$B$49,"OK","DIVERGE"))</f>
        <v>OK</v>
      </c>
      <c r="F22" s="17" t="s">
        <v>317</v>
      </c>
      <c r="G22" s="64" t="n">
        <v>0.995534</v>
      </c>
    </row>
    <row r="23" customFormat="false" ht="15" hidden="false" customHeight="true" outlineLevel="0" collapsed="false">
      <c r="A23" s="17" t="s">
        <v>261</v>
      </c>
      <c r="B23" s="61" t="n">
        <v>0.052702</v>
      </c>
      <c r="C23" s="62" t="n">
        <f aca="false">Pontuacao!B39</f>
        <v>0.0527015088154779</v>
      </c>
      <c r="D23" s="63" t="n">
        <f aca="false">IF(OR(NOT(ISNUMBER(B23)),NOT(ISNUMBER(C23))),"",C23-B23)</f>
        <v>-4.91184522138921E-007</v>
      </c>
      <c r="E23" s="27" t="str">
        <f aca="false">IF(D23="","",IF(ABS(D23)&lt;=Parametros!$B$49,"OK","DIVERGE"))</f>
        <v>OK</v>
      </c>
      <c r="F23" s="17" t="s">
        <v>320</v>
      </c>
      <c r="G23" s="64" t="n">
        <v>0.190117</v>
      </c>
    </row>
    <row r="24" customFormat="false" ht="15" hidden="false" customHeight="true" outlineLevel="0" collapsed="false">
      <c r="A24" s="17" t="s">
        <v>321</v>
      </c>
      <c r="B24" s="61"/>
      <c r="C24" s="65" t="str">
        <f aca="false">Sensibilidade!E10</f>
        <v/>
      </c>
      <c r="D24" s="63" t="str">
        <f aca="false">IF(OR(NOT(ISNUMBER(B24)),NOT(ISNUMBER(C24))),"",C24-B24)</f>
        <v/>
      </c>
      <c r="E24" s="27" t="str">
        <f aca="false">IF(D24="","",IF(ABS(D24)&lt;=Parametros!$B$49,"OK","DIVERGE"))</f>
        <v/>
      </c>
      <c r="F24" s="17" t="s">
        <v>322</v>
      </c>
      <c r="G24" s="64" t="n">
        <v>0.8341</v>
      </c>
    </row>
    <row r="25" customFormat="false" ht="15" hidden="false" customHeight="true" outlineLevel="0" collapsed="false">
      <c r="A25" s="17" t="s">
        <v>323</v>
      </c>
      <c r="B25" s="61" t="n">
        <v>0.9091</v>
      </c>
      <c r="C25" s="65" t="n">
        <f aca="false">Sensibilidade!E11</f>
        <v>0.909090909090909</v>
      </c>
      <c r="D25" s="63" t="n">
        <f aca="false">IF(OR(NOT(ISNUMBER(B25)),NOT(ISNUMBER(C25))),"",C25-B25)</f>
        <v>-9.09090909095855E-006</v>
      </c>
      <c r="E25" s="27" t="str">
        <f aca="false">IF(D25="","",IF(ABS(D25)&lt;=Parametros!$B$49,"OK","DIVERGE"))</f>
        <v>OK</v>
      </c>
      <c r="F25" s="17" t="s">
        <v>322</v>
      </c>
      <c r="G25" s="64" t="n">
        <v>0.9091</v>
      </c>
    </row>
    <row r="26" customFormat="false" ht="15" hidden="false" customHeight="true" outlineLevel="0" collapsed="false">
      <c r="A26" s="17" t="s">
        <v>324</v>
      </c>
      <c r="B26" s="61"/>
      <c r="C26" s="65" t="str">
        <f aca="false">Sensibilidade!E12</f>
        <v/>
      </c>
      <c r="D26" s="63" t="str">
        <f aca="false">IF(OR(NOT(ISNUMBER(B26)),NOT(ISNUMBER(C26))),"",C26-B26)</f>
        <v/>
      </c>
      <c r="E26" s="27" t="str">
        <f aca="false">IF(D26="","",IF(ABS(D26)&lt;=Parametros!$B$49,"OK","DIVERGE"))</f>
        <v/>
      </c>
      <c r="F26" s="17" t="s">
        <v>322</v>
      </c>
      <c r="G26" s="64" t="n">
        <v>-0.7832</v>
      </c>
    </row>
    <row r="28" customFormat="false" ht="15" hidden="false" customHeight="true" outlineLevel="0" collapsed="false">
      <c r="A28" s="16" t="s">
        <v>48</v>
      </c>
      <c r="B28" s="16" t="s">
        <v>293</v>
      </c>
      <c r="C28" s="16" t="s">
        <v>294</v>
      </c>
      <c r="D28" s="16"/>
      <c r="E28" s="16" t="s">
        <v>159</v>
      </c>
      <c r="F28" s="16" t="s">
        <v>296</v>
      </c>
      <c r="G28" s="16" t="s">
        <v>297</v>
      </c>
    </row>
    <row r="29" customFormat="false" ht="15" hidden="false" customHeight="true" outlineLevel="0" collapsed="false">
      <c r="A29" s="17" t="s">
        <v>325</v>
      </c>
      <c r="B29" s="18" t="s">
        <v>253</v>
      </c>
      <c r="C29" s="40" t="str">
        <f aca="false">Pontuacao!B38</f>
        <v>Microsoft Azure</v>
      </c>
      <c r="E29" s="27" t="str">
        <f aca="false">IF(TRIM(B29&amp;"")=TRIM(C29&amp;""),"OK","DIVERGE")</f>
        <v>OK</v>
      </c>
      <c r="F29" s="17" t="s">
        <v>320</v>
      </c>
      <c r="G29" s="66" t="s">
        <v>253</v>
      </c>
    </row>
    <row r="30" customFormat="false" ht="15" hidden="false" customHeight="true" outlineLevel="0" collapsed="false">
      <c r="A30" s="17" t="s">
        <v>326</v>
      </c>
      <c r="B30" s="18" t="s">
        <v>327</v>
      </c>
      <c r="C30" s="40" t="str">
        <f aca="false">AHP_Dimensoes!B36</f>
        <v>CONSISTENTE</v>
      </c>
      <c r="E30" s="27" t="str">
        <f aca="false">IF(TRIM(B30&amp;"")=TRIM(C30&amp;""),"OK","DIVERGE")</f>
        <v>OK</v>
      </c>
      <c r="F30" s="17" t="s">
        <v>303</v>
      </c>
      <c r="G30" s="66" t="s">
        <v>327</v>
      </c>
    </row>
    <row r="31" customFormat="false" ht="15" hidden="false" customHeight="true" outlineLevel="0" collapsed="false">
      <c r="A31" s="17" t="s">
        <v>262</v>
      </c>
      <c r="B31" s="18" t="s">
        <v>259</v>
      </c>
      <c r="C31" s="40" t="str">
        <f aca="false">Pontuacao!B40</f>
        <v>não</v>
      </c>
      <c r="E31" s="27" t="str">
        <f aca="false">IF(TRIM(B31&amp;"")=TRIM(C31&amp;""),"OK","DIVERGE")</f>
        <v>OK</v>
      </c>
      <c r="F31" s="17" t="s">
        <v>320</v>
      </c>
      <c r="G31" s="66" t="s">
        <v>259</v>
      </c>
    </row>
    <row r="32" customFormat="false" ht="15" hidden="false" customHeight="true" outlineLevel="0" collapsed="false">
      <c r="A32" s="17" t="s">
        <v>328</v>
      </c>
      <c r="B32" s="18" t="s">
        <v>259</v>
      </c>
      <c r="C32" s="40" t="str">
        <f aca="false">Pontuacao!B41</f>
        <v>não</v>
      </c>
      <c r="E32" s="27" t="str">
        <f aca="false">IF(TRIM(B32&amp;"")=TRIM(C32&amp;""),"OK","DIVERGE")</f>
        <v>OK</v>
      </c>
      <c r="F32" s="17" t="s">
        <v>320</v>
      </c>
      <c r="G32" s="66" t="s">
        <v>329</v>
      </c>
    </row>
    <row r="33" customFormat="false" ht="15" hidden="false" customHeight="true" outlineLevel="0" collapsed="false">
      <c r="A33" s="17" t="s">
        <v>330</v>
      </c>
      <c r="B33" s="18" t="n">
        <v>0</v>
      </c>
      <c r="C33" s="40" t="n">
        <f aca="false">COUNTIF(Normalizacao!$AG$5:$AG$17,"non_discriminative")</f>
        <v>0</v>
      </c>
      <c r="E33" s="27" t="str">
        <f aca="false">IF(TRIM(B33&amp;"")=TRIM(C33&amp;""),"OK","DIVERGE")</f>
        <v>OK</v>
      </c>
      <c r="F33" s="17" t="s">
        <v>331</v>
      </c>
      <c r="G33" s="66" t="n">
        <v>7</v>
      </c>
    </row>
    <row r="34" customFormat="false" ht="15" hidden="false" customHeight="true" outlineLevel="0" collapsed="false">
      <c r="A34" s="17" t="s">
        <v>276</v>
      </c>
      <c r="B34" s="18" t="s">
        <v>113</v>
      </c>
      <c r="C34" s="40" t="str">
        <f aca="false">Sensibilidade!B13</f>
        <v>Desempenho Operacional</v>
      </c>
      <c r="E34" s="27" t="str">
        <f aca="false">IF(TRIM(B34&amp;"")=TRIM(C34&amp;""),"OK","DIVERGE")</f>
        <v>OK</v>
      </c>
      <c r="F34" s="17" t="s">
        <v>322</v>
      </c>
      <c r="G34" s="66" t="s">
        <v>115</v>
      </c>
    </row>
    <row r="36" customFormat="false" ht="15" hidden="false" customHeight="true" outlineLevel="0" collapsed="false">
      <c r="A36" s="17" t="s">
        <v>332</v>
      </c>
      <c r="B36" s="27" t="str">
        <f aca="false">IF(COUNTIF(E7:E34,"DIVERGE")=0,"OK — a planilha reproduz o relatório","DIVERGE em "&amp;COUNTIF(E7:E34,"DIVERGE")&amp;" grandeza(s)")</f>
        <v>OK — a planilha reproduz o relatório</v>
      </c>
      <c r="C36" s="27"/>
      <c r="D36" s="27"/>
      <c r="E36" s="27"/>
      <c r="F36" s="27"/>
    </row>
    <row r="38" customFormat="false" ht="15" hidden="false" customHeight="true" outlineLevel="0" collapsed="false">
      <c r="A38" s="19" t="s">
        <v>333</v>
      </c>
    </row>
  </sheetData>
  <mergeCells count="2">
    <mergeCell ref="B4:F4"/>
    <mergeCell ref="B36:F36"/>
  </mergeCells>
  <conditionalFormatting sqref="E7:E34">
    <cfRule type="cellIs" priority="2" operator="equal" aboveAverage="0" equalAverage="0" bottom="0" percent="0" rank="0" text="" dxfId="1">
      <formula>"DIVERGE"</formula>
    </cfRule>
  </conditionalFormatting>
  <conditionalFormatting sqref="B36">
    <cfRule type="cellIs" priority="3" operator="equal" aboveAverage="0" equalAverage="0" bottom="0" percent="0" rank="0" text="" dxfId="1">
      <formula>"DIVERGE"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2026-09-21T03:20:03Z</dcterms:created>
  <dc:creator>openpyxl</dc:creator>
  <dc:description/>
  <dc:language>pt-BR</dc:language>
  <cp:lastModifiedBy/>
  <dcterms:modified xsi:type="dcterms:W3CDTF">2026-09-29T19:03:34Z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